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mabatteries.sharepoint.com/sites/KYMABatteries/Shared Documents/Engineering/"/>
    </mc:Choice>
  </mc:AlternateContent>
  <xr:revisionPtr revIDLastSave="2213" documentId="8_{99FE3CC4-22D7-419A-97C5-C11B5D872921}" xr6:coauthVersionLast="47" xr6:coauthVersionMax="47" xr10:uidLastSave="{8CE28C25-4C7A-4BD7-A129-FFFD1AC53709}"/>
  <bookViews>
    <workbookView minimized="1" xWindow="31500" yWindow="2925" windowWidth="21600" windowHeight="11295" activeTab="1" xr2:uid="{4E8DACC0-495A-4A92-89E0-F021C3261045}"/>
  </bookViews>
  <sheets>
    <sheet name="programCodes" sheetId="5" r:id="rId1"/>
    <sheet name="projectCodes" sheetId="3" r:id="rId2"/>
    <sheet name="partNumbers" sheetId="1" r:id="rId3"/>
    <sheet name="revisionList" sheetId="4" r:id="rId4"/>
  </sheets>
  <definedNames>
    <definedName name="_xlnm._FilterDatabase" localSheetId="2" hidden="1">partNumbers!$A$2:$L$407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6" i="1" l="1"/>
  <c r="G467" i="1"/>
  <c r="G468" i="1"/>
  <c r="G469" i="1"/>
  <c r="G470" i="1"/>
  <c r="G471" i="1"/>
  <c r="G472" i="1"/>
  <c r="G473" i="1"/>
  <c r="G474" i="1"/>
  <c r="G475" i="1"/>
  <c r="G476" i="1"/>
  <c r="G477" i="1"/>
  <c r="G465" i="1"/>
  <c r="F465" i="1"/>
  <c r="G464" i="1"/>
  <c r="G459" i="1"/>
  <c r="F461" i="1"/>
  <c r="G461" i="1" s="1"/>
  <c r="F462" i="1"/>
  <c r="G462" i="1" s="1"/>
  <c r="F463" i="1"/>
  <c r="G463" i="1" s="1"/>
  <c r="F464" i="1"/>
  <c r="F460" i="1"/>
  <c r="G460" i="1" s="1"/>
  <c r="G409" i="1"/>
  <c r="F409" i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5" i="1"/>
  <c r="G395" i="1" s="1"/>
  <c r="F396" i="1"/>
  <c r="G396" i="1" s="1"/>
  <c r="F393" i="1"/>
  <c r="G393" i="1" s="1"/>
  <c r="F394" i="1"/>
  <c r="G394" i="1" s="1"/>
  <c r="F392" i="1"/>
  <c r="G392" i="1" s="1"/>
  <c r="F390" i="1"/>
  <c r="G390" i="1" s="1"/>
  <c r="F391" i="1"/>
  <c r="G391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20" i="1"/>
  <c r="G320" i="1" s="1"/>
  <c r="F323" i="1"/>
  <c r="G323" i="1" s="1"/>
  <c r="F267" i="1"/>
  <c r="G267" i="1" s="1"/>
  <c r="F259" i="1"/>
  <c r="G259" i="1" s="1"/>
  <c r="F284" i="1"/>
  <c r="G284" i="1" s="1"/>
  <c r="F223" i="1"/>
  <c r="G223" i="1" s="1"/>
  <c r="F340" i="1"/>
  <c r="G340" i="1" s="1"/>
  <c r="F321" i="1"/>
  <c r="G321" i="1" s="1"/>
  <c r="F235" i="1"/>
  <c r="G235" i="1" s="1"/>
  <c r="F192" i="1"/>
  <c r="F116" i="1"/>
  <c r="F233" i="1"/>
  <c r="G233" i="1" s="1"/>
  <c r="F22" i="1"/>
  <c r="F151" i="1"/>
  <c r="F103" i="1"/>
  <c r="F84" i="1"/>
  <c r="F149" i="1"/>
  <c r="F172" i="1"/>
  <c r="F43" i="1"/>
  <c r="F242" i="1"/>
  <c r="G242" i="1" s="1"/>
  <c r="F74" i="1"/>
  <c r="F73" i="1"/>
  <c r="F129" i="1"/>
  <c r="F197" i="1"/>
  <c r="F59" i="1"/>
  <c r="F17" i="1"/>
  <c r="F16" i="1"/>
  <c r="F15" i="1"/>
  <c r="F14" i="1"/>
  <c r="F30" i="1"/>
  <c r="F5" i="1"/>
  <c r="F56" i="1"/>
  <c r="F174" i="1"/>
  <c r="F146" i="1"/>
  <c r="F58" i="1"/>
  <c r="F4" i="1"/>
  <c r="F57" i="1"/>
  <c r="F141" i="1"/>
  <c r="F140" i="1"/>
  <c r="F139" i="1"/>
  <c r="F138" i="1"/>
  <c r="F3" i="1"/>
  <c r="F186" i="1"/>
  <c r="F75" i="1"/>
  <c r="F98" i="1"/>
  <c r="F97" i="1"/>
  <c r="F191" i="1"/>
  <c r="F190" i="1"/>
  <c r="F18" i="1"/>
  <c r="F45" i="1"/>
  <c r="F164" i="1"/>
  <c r="F196" i="1"/>
  <c r="F195" i="1"/>
  <c r="F194" i="1"/>
  <c r="F52" i="1"/>
  <c r="F51" i="1"/>
  <c r="F50" i="1"/>
  <c r="F72" i="1"/>
  <c r="F128" i="1"/>
  <c r="F127" i="1"/>
  <c r="F49" i="1"/>
  <c r="F126" i="1"/>
  <c r="F125" i="1"/>
  <c r="F124" i="1"/>
  <c r="F177" i="1"/>
  <c r="F176" i="1"/>
  <c r="F175" i="1"/>
  <c r="F193" i="1"/>
  <c r="F48" i="1"/>
  <c r="F315" i="1"/>
  <c r="G315" i="1" s="1"/>
  <c r="F294" i="1"/>
  <c r="G294" i="1" s="1"/>
  <c r="F298" i="1"/>
  <c r="G298" i="1" s="1"/>
  <c r="F240" i="1"/>
  <c r="G240" i="1" s="1"/>
  <c r="F220" i="1"/>
  <c r="G220" i="1" s="1"/>
  <c r="F293" i="1"/>
  <c r="G293" i="1" s="1"/>
  <c r="F262" i="1"/>
  <c r="G262" i="1" s="1"/>
  <c r="F296" i="1"/>
  <c r="G296" i="1" s="1"/>
  <c r="F212" i="1"/>
  <c r="G212" i="1" s="1"/>
  <c r="F255" i="1"/>
  <c r="G255" i="1" s="1"/>
  <c r="F316" i="1"/>
  <c r="G316" i="1" s="1"/>
  <c r="F286" i="1"/>
  <c r="G286" i="1" s="1"/>
  <c r="F227" i="1"/>
  <c r="G227" i="1" s="1"/>
  <c r="F337" i="1"/>
  <c r="G337" i="1" s="1"/>
  <c r="F261" i="1"/>
  <c r="G261" i="1" s="1"/>
  <c r="F243" i="1"/>
  <c r="G243" i="1" s="1"/>
  <c r="F295" i="1"/>
  <c r="G295" i="1" s="1"/>
  <c r="F346" i="1"/>
  <c r="G346" i="1" s="1"/>
  <c r="F217" i="1"/>
  <c r="G217" i="1" s="1"/>
  <c r="F264" i="1"/>
  <c r="G264" i="1" s="1"/>
  <c r="F265" i="1"/>
  <c r="G265" i="1" s="1"/>
  <c r="F270" i="1"/>
  <c r="G270" i="1" s="1"/>
  <c r="F334" i="1"/>
  <c r="G334" i="1" s="1"/>
  <c r="F231" i="1"/>
  <c r="G231" i="1" s="1"/>
  <c r="F203" i="1"/>
  <c r="G203" i="1" s="1"/>
  <c r="F281" i="1"/>
  <c r="G281" i="1" s="1"/>
  <c r="F266" i="1"/>
  <c r="G266" i="1" s="1"/>
  <c r="F104" i="1"/>
  <c r="F155" i="1"/>
  <c r="F46" i="1"/>
  <c r="F154" i="1"/>
  <c r="F153" i="1"/>
  <c r="F179" i="1"/>
  <c r="F219" i="1"/>
  <c r="G219" i="1" s="1"/>
  <c r="F256" i="1"/>
  <c r="G256" i="1" s="1"/>
  <c r="F333" i="1"/>
  <c r="G333" i="1" s="1"/>
  <c r="F310" i="1"/>
  <c r="G310" i="1" s="1"/>
  <c r="F238" i="1"/>
  <c r="G238" i="1" s="1"/>
  <c r="F300" i="1"/>
  <c r="G300" i="1" s="1"/>
  <c r="F211" i="1"/>
  <c r="G211" i="1" s="1"/>
  <c r="F251" i="1"/>
  <c r="G251" i="1" s="1"/>
  <c r="F299" i="1"/>
  <c r="G299" i="1" s="1"/>
  <c r="F263" i="1"/>
  <c r="G263" i="1" s="1"/>
  <c r="F216" i="1"/>
  <c r="G216" i="1" s="1"/>
  <c r="F290" i="1"/>
  <c r="G290" i="1" s="1"/>
  <c r="F171" i="1"/>
  <c r="F248" i="1"/>
  <c r="G248" i="1" s="1"/>
  <c r="F237" i="1"/>
  <c r="G237" i="1" s="1"/>
  <c r="F249" i="1"/>
  <c r="G249" i="1" s="1"/>
  <c r="F324" i="1"/>
  <c r="G324" i="1" s="1"/>
  <c r="F305" i="1"/>
  <c r="G305" i="1" s="1"/>
  <c r="F214" i="1"/>
  <c r="G214" i="1" s="1"/>
  <c r="F311" i="1"/>
  <c r="G311" i="1" s="1"/>
  <c r="F348" i="1"/>
  <c r="G348" i="1" s="1"/>
  <c r="F215" i="1"/>
  <c r="G215" i="1" s="1"/>
  <c r="F247" i="1"/>
  <c r="G247" i="1" s="1"/>
  <c r="F307" i="1"/>
  <c r="G307" i="1" s="1"/>
  <c r="F245" i="1"/>
  <c r="G245" i="1" s="1"/>
  <c r="F338" i="1"/>
  <c r="G338" i="1" s="1"/>
  <c r="F322" i="1"/>
  <c r="G322" i="1" s="1"/>
  <c r="F279" i="1"/>
  <c r="G279" i="1" s="1"/>
  <c r="F244" i="1"/>
  <c r="G244" i="1" s="1"/>
  <c r="F285" i="1"/>
  <c r="G285" i="1" s="1"/>
  <c r="F331" i="1"/>
  <c r="G331" i="1" s="1"/>
  <c r="F318" i="1"/>
  <c r="G318" i="1" s="1"/>
  <c r="F252" i="1"/>
  <c r="G252" i="1" s="1"/>
  <c r="F204" i="1"/>
  <c r="G204" i="1" s="1"/>
  <c r="F277" i="1"/>
  <c r="G277" i="1" s="1"/>
  <c r="F345" i="1"/>
  <c r="G345" i="1" s="1"/>
  <c r="F301" i="1"/>
  <c r="G301" i="1" s="1"/>
  <c r="F302" i="1"/>
  <c r="G302" i="1" s="1"/>
  <c r="F343" i="1"/>
  <c r="G343" i="1" s="1"/>
  <c r="F260" i="1"/>
  <c r="G260" i="1" s="1"/>
  <c r="F292" i="1"/>
  <c r="G292" i="1" s="1"/>
  <c r="F234" i="1"/>
  <c r="G234" i="1" s="1"/>
  <c r="F289" i="1"/>
  <c r="G289" i="1" s="1"/>
  <c r="F273" i="1"/>
  <c r="G273" i="1" s="1"/>
  <c r="F327" i="1"/>
  <c r="G327" i="1" s="1"/>
  <c r="F257" i="1"/>
  <c r="G257" i="1" s="1"/>
  <c r="F314" i="1"/>
  <c r="G314" i="1" s="1"/>
  <c r="F210" i="1"/>
  <c r="G210" i="1" s="1"/>
  <c r="F250" i="1"/>
  <c r="G250" i="1" s="1"/>
  <c r="F313" i="1"/>
  <c r="G313" i="1" s="1"/>
  <c r="F288" i="1"/>
  <c r="G288" i="1" s="1"/>
  <c r="F280" i="1"/>
  <c r="G280" i="1" s="1"/>
  <c r="F275" i="1"/>
  <c r="G275" i="1" s="1"/>
  <c r="F339" i="1"/>
  <c r="G339" i="1" s="1"/>
  <c r="F239" i="1"/>
  <c r="G239" i="1" s="1"/>
  <c r="F278" i="1"/>
  <c r="F225" i="1"/>
  <c r="G225" i="1" s="1"/>
  <c r="F205" i="1"/>
  <c r="G205" i="1" s="1"/>
  <c r="F228" i="1"/>
  <c r="G228" i="1" s="1"/>
  <c r="F221" i="1"/>
  <c r="G221" i="1" s="1"/>
  <c r="F241" i="1"/>
  <c r="G241" i="1" s="1"/>
  <c r="F342" i="1"/>
  <c r="G342" i="1" s="1"/>
  <c r="F341" i="1"/>
  <c r="G341" i="1" s="1"/>
  <c r="F226" i="1"/>
  <c r="G226" i="1" s="1"/>
  <c r="F208" i="1"/>
  <c r="G208" i="1" s="1"/>
  <c r="F303" i="1"/>
  <c r="G303" i="1" s="1"/>
  <c r="F344" i="1"/>
  <c r="G344" i="1" s="1"/>
  <c r="F276" i="1"/>
  <c r="G276" i="1" s="1"/>
  <c r="F236" i="1"/>
  <c r="G236" i="1" s="1"/>
  <c r="F274" i="1"/>
  <c r="G274" i="1" s="1"/>
  <c r="F209" i="1"/>
  <c r="G209" i="1" s="1"/>
  <c r="F269" i="1"/>
  <c r="G269" i="1" s="1"/>
  <c r="F224" i="1"/>
  <c r="G224" i="1" s="1"/>
  <c r="F200" i="1"/>
  <c r="G200" i="1" s="1"/>
  <c r="F309" i="1"/>
  <c r="G309" i="1" s="1"/>
  <c r="F199" i="1"/>
  <c r="G199" i="1" s="1"/>
  <c r="F202" i="1"/>
  <c r="G202" i="1" s="1"/>
  <c r="F253" i="1"/>
  <c r="G253" i="1" s="1"/>
  <c r="F246" i="1"/>
  <c r="G246" i="1" s="1"/>
  <c r="F328" i="1"/>
  <c r="G328" i="1" s="1"/>
  <c r="F335" i="1"/>
  <c r="G335" i="1" s="1"/>
  <c r="F308" i="1"/>
  <c r="G308" i="1" s="1"/>
  <c r="F330" i="1"/>
  <c r="G330" i="1" s="1"/>
  <c r="F326" i="1"/>
  <c r="G326" i="1" s="1"/>
  <c r="F347" i="1"/>
  <c r="G347" i="1" s="1"/>
  <c r="F271" i="1"/>
  <c r="G271" i="1" s="1"/>
  <c r="F272" i="1"/>
  <c r="G272" i="1" s="1"/>
  <c r="F319" i="1"/>
  <c r="G319" i="1" s="1"/>
  <c r="F258" i="1"/>
  <c r="G258" i="1" s="1"/>
  <c r="F207" i="1"/>
  <c r="G207" i="1" s="1"/>
  <c r="F332" i="1"/>
  <c r="G332" i="1" s="1"/>
  <c r="F282" i="1"/>
  <c r="G282" i="1" s="1"/>
  <c r="F336" i="1"/>
  <c r="G336" i="1" s="1"/>
  <c r="F213" i="1"/>
  <c r="G213" i="1" s="1"/>
  <c r="F325" i="1"/>
  <c r="G325" i="1" s="1"/>
  <c r="F232" i="1"/>
  <c r="G232" i="1" s="1"/>
  <c r="F297" i="1"/>
  <c r="G297" i="1" s="1"/>
  <c r="F218" i="1"/>
  <c r="G218" i="1" s="1"/>
  <c r="F222" i="1"/>
  <c r="G222" i="1" s="1"/>
  <c r="F312" i="1"/>
  <c r="G312" i="1" s="1"/>
  <c r="F283" i="1"/>
  <c r="G283" i="1" s="1"/>
  <c r="F287" i="1"/>
  <c r="G287" i="1" s="1"/>
  <c r="F254" i="1"/>
  <c r="G254" i="1" s="1"/>
  <c r="F268" i="1"/>
  <c r="G268" i="1" s="1"/>
  <c r="F317" i="1"/>
  <c r="G317" i="1" s="1"/>
  <c r="F229" i="1"/>
  <c r="G229" i="1" s="1"/>
  <c r="F206" i="1"/>
  <c r="G206" i="1" s="1"/>
  <c r="F291" i="1"/>
  <c r="G291" i="1" s="1"/>
  <c r="F329" i="1"/>
  <c r="G329" i="1" s="1"/>
  <c r="F230" i="1"/>
  <c r="G230" i="1" s="1"/>
  <c r="F306" i="1"/>
  <c r="G306" i="1" s="1"/>
  <c r="F201" i="1"/>
  <c r="G201" i="1" s="1"/>
  <c r="F188" i="1"/>
  <c r="F304" i="1"/>
  <c r="G304" i="1" s="1"/>
  <c r="F36" i="1"/>
  <c r="F101" i="1"/>
  <c r="F169" i="1"/>
  <c r="F178" i="1"/>
  <c r="F187" i="1"/>
  <c r="F23" i="1"/>
  <c r="F152" i="1"/>
  <c r="F168" i="1"/>
  <c r="F90" i="1"/>
  <c r="F99" i="1"/>
  <c r="F163" i="1"/>
  <c r="F13" i="1"/>
  <c r="F34" i="1"/>
  <c r="F47" i="1"/>
  <c r="F24" i="1"/>
  <c r="F35" i="1"/>
  <c r="F39" i="1"/>
  <c r="F11" i="1"/>
  <c r="F83" i="1"/>
  <c r="F28" i="1"/>
  <c r="F108" i="1"/>
  <c r="F105" i="1"/>
  <c r="F145" i="1"/>
  <c r="F106" i="1"/>
  <c r="F27" i="1"/>
  <c r="F33" i="1"/>
  <c r="F89" i="1"/>
  <c r="F66" i="1"/>
  <c r="F170" i="1"/>
  <c r="F21" i="1"/>
  <c r="F143" i="1"/>
  <c r="F181" i="1"/>
  <c r="F67" i="1"/>
  <c r="F107" i="1"/>
  <c r="F134" i="1"/>
  <c r="F31" i="1"/>
  <c r="F144" i="1"/>
  <c r="F157" i="1"/>
  <c r="F42" i="1"/>
  <c r="F41" i="1"/>
  <c r="F61" i="1"/>
  <c r="F113" i="1"/>
  <c r="F25" i="1"/>
  <c r="F37" i="1"/>
  <c r="F29" i="1"/>
  <c r="F20" i="1"/>
  <c r="F6" i="1"/>
  <c r="F70" i="1"/>
  <c r="F173" i="1"/>
  <c r="F115" i="1"/>
  <c r="F85" i="1"/>
  <c r="F167" i="1"/>
  <c r="F150" i="1"/>
  <c r="F147" i="1"/>
  <c r="F185" i="1"/>
  <c r="F111" i="1"/>
  <c r="F82" i="1"/>
  <c r="F64" i="1"/>
  <c r="F19" i="1"/>
  <c r="F156" i="1"/>
  <c r="F65" i="1"/>
  <c r="F148" i="1"/>
  <c r="F63" i="1"/>
  <c r="F53" i="1"/>
  <c r="F102" i="1"/>
  <c r="F87" i="1"/>
  <c r="F68" i="1"/>
  <c r="F109" i="1"/>
  <c r="F12" i="1"/>
  <c r="F81" i="1"/>
  <c r="F110" i="1"/>
  <c r="F142" i="1"/>
  <c r="F38" i="1"/>
  <c r="F91" i="1"/>
  <c r="F62" i="1"/>
  <c r="F180" i="1"/>
  <c r="F26" i="1"/>
  <c r="F60" i="1"/>
  <c r="F112" i="1"/>
  <c r="F88" i="1"/>
  <c r="F71" i="1"/>
  <c r="F55" i="1"/>
  <c r="D54" i="1"/>
  <c r="F54" i="1" s="1"/>
  <c r="F94" i="1"/>
  <c r="F132" i="1"/>
  <c r="F131" i="1"/>
  <c r="F130" i="1"/>
  <c r="F95" i="1"/>
  <c r="F32" i="1"/>
  <c r="F166" i="1"/>
  <c r="F165" i="1"/>
  <c r="F86" i="1"/>
  <c r="F93" i="1"/>
  <c r="F92" i="1"/>
  <c r="F133" i="1"/>
  <c r="F184" i="1"/>
  <c r="F183" i="1"/>
  <c r="F182" i="1"/>
  <c r="F69" i="1"/>
  <c r="F96" i="1"/>
  <c r="F114" i="1"/>
  <c r="F40" i="1"/>
  <c r="F10" i="1"/>
  <c r="F9" i="1"/>
  <c r="F8" i="1"/>
  <c r="F7" i="1"/>
  <c r="F123" i="1"/>
  <c r="F122" i="1"/>
  <c r="F121" i="1"/>
  <c r="F120" i="1"/>
  <c r="F119" i="1"/>
  <c r="F118" i="1"/>
  <c r="F117" i="1"/>
  <c r="F162" i="1"/>
  <c r="F161" i="1"/>
  <c r="F160" i="1"/>
  <c r="F159" i="1"/>
  <c r="F158" i="1"/>
  <c r="F189" i="1"/>
  <c r="F80" i="1"/>
  <c r="F79" i="1"/>
  <c r="F78" i="1"/>
  <c r="F77" i="1"/>
  <c r="F76" i="1"/>
  <c r="F100" i="1"/>
  <c r="F44" i="1"/>
  <c r="F137" i="1"/>
  <c r="F136" i="1"/>
  <c r="F135" i="1"/>
</calcChain>
</file>

<file path=xl/sharedStrings.xml><?xml version="1.0" encoding="utf-8"?>
<sst xmlns="http://schemas.openxmlformats.org/spreadsheetml/2006/main" count="3019" uniqueCount="815">
  <si>
    <t>Status</t>
  </si>
  <si>
    <t>Sequence</t>
  </si>
  <si>
    <t>Time Stamp</t>
  </si>
  <si>
    <t>Program Code</t>
  </si>
  <si>
    <t>PM</t>
  </si>
  <si>
    <t>Description</t>
  </si>
  <si>
    <t>Notes</t>
  </si>
  <si>
    <t>future</t>
  </si>
  <si>
    <t>5A5</t>
  </si>
  <si>
    <t>Ana</t>
  </si>
  <si>
    <t>Shawshank - Colorado Prison / Data Mine Support</t>
  </si>
  <si>
    <t>active</t>
  </si>
  <si>
    <t>planned</t>
  </si>
  <si>
    <t>Dan</t>
  </si>
  <si>
    <t>Mentone - Loadout Silos Backup Power System</t>
  </si>
  <si>
    <t>Kate</t>
  </si>
  <si>
    <t>Reefers - Fleet Energy Support</t>
  </si>
  <si>
    <t>shelved</t>
  </si>
  <si>
    <t>4a</t>
  </si>
  <si>
    <t>1D1</t>
  </si>
  <si>
    <t>Skunkworks - R&amp;D // Advanced Engineering</t>
  </si>
  <si>
    <t>complete</t>
  </si>
  <si>
    <t>4b</t>
  </si>
  <si>
    <t>4A3</t>
  </si>
  <si>
    <t>Bob Pilot Line // Alpha Program</t>
  </si>
  <si>
    <t>Odometer Pilot Line</t>
  </si>
  <si>
    <t>26B</t>
  </si>
  <si>
    <t>Brill boards localization &amp; Pilot line</t>
  </si>
  <si>
    <t>01D</t>
  </si>
  <si>
    <t>BrightLoop Inverters localization &amp; Pilot line</t>
  </si>
  <si>
    <t>Brightloop DC/DC converters localization &amp; Pilot line</t>
  </si>
  <si>
    <t>ITX Energy Enterprize</t>
  </si>
  <si>
    <t>5AC</t>
  </si>
  <si>
    <t>Move CA --&gt; WI</t>
  </si>
  <si>
    <t>05D</t>
  </si>
  <si>
    <t>Kyma Legacy</t>
  </si>
  <si>
    <t>Demo metal Bob</t>
  </si>
  <si>
    <t>Tremors - EOG Solar / Energy Data Center</t>
  </si>
  <si>
    <t>7B2</t>
  </si>
  <si>
    <t>Battery Cell Reintroduction</t>
  </si>
  <si>
    <t>6F8</t>
  </si>
  <si>
    <t>Operation Shore Up</t>
  </si>
  <si>
    <t>WI Testing Lab</t>
  </si>
  <si>
    <t>2FD</t>
  </si>
  <si>
    <t>WI Fab shop</t>
  </si>
  <si>
    <t>2EA</t>
  </si>
  <si>
    <t>4FB</t>
  </si>
  <si>
    <t>Project Code</t>
  </si>
  <si>
    <t>Engineer</t>
  </si>
  <si>
    <t>Date of Last Update</t>
  </si>
  <si>
    <t>BB01</t>
  </si>
  <si>
    <t>Dan Domikaitis</t>
  </si>
  <si>
    <t>BOB 01 - Alpha</t>
  </si>
  <si>
    <t>FR01</t>
  </si>
  <si>
    <t>FRIKKIE 01 - 40' Container Program, First Variant</t>
  </si>
  <si>
    <t>FACI</t>
  </si>
  <si>
    <t>Facilities Project Code</t>
  </si>
  <si>
    <t>BB02</t>
  </si>
  <si>
    <t>BOB 02 - Beta</t>
  </si>
  <si>
    <t>HV01</t>
  </si>
  <si>
    <t>Hydrovolt01 - Alpha</t>
  </si>
  <si>
    <t>BB03</t>
  </si>
  <si>
    <t>Ana Sopalovic</t>
  </si>
  <si>
    <t>BOB 03 - Beta &amp; Vehicle Charger?</t>
  </si>
  <si>
    <t>OD01</t>
  </si>
  <si>
    <t>RD01</t>
  </si>
  <si>
    <t>Raiden - Brill DCDC + BMS</t>
  </si>
  <si>
    <t>SC01</t>
  </si>
  <si>
    <t>Travis Cournoyer</t>
  </si>
  <si>
    <t>Supercell Alpha</t>
  </si>
  <si>
    <t>VD01</t>
  </si>
  <si>
    <t>Vapor Degreaser 01 - Battery Cleaner</t>
  </si>
  <si>
    <t>TT01</t>
  </si>
  <si>
    <t>Arbin Testing - Used Cells</t>
  </si>
  <si>
    <t>RG01</t>
  </si>
  <si>
    <t>GR01</t>
  </si>
  <si>
    <t>Goro - Brightloop Inverter 2x40</t>
  </si>
  <si>
    <t>IC01</t>
  </si>
  <si>
    <t>Icarus - Brightloop HV-HV DC/DC</t>
  </si>
  <si>
    <t>Part Title</t>
  </si>
  <si>
    <t>Rollup</t>
  </si>
  <si>
    <t>Variant</t>
  </si>
  <si>
    <t>PartNumber</t>
  </si>
  <si>
    <t>Target Product</t>
  </si>
  <si>
    <t>Type</t>
  </si>
  <si>
    <t>Originating Engineer</t>
  </si>
  <si>
    <t>CEL- LFP_CATL-202Ah</t>
  </si>
  <si>
    <t>P</t>
  </si>
  <si>
    <t>-01-</t>
  </si>
  <si>
    <t>"1 MWh Demonstrator Container"</t>
  </si>
  <si>
    <t>Battery Cell</t>
  </si>
  <si>
    <t>CEL- LFP_Lishen-130Ah</t>
  </si>
  <si>
    <t>-02-</t>
  </si>
  <si>
    <t>CEL-LFP_BYD-Blade_138Ah</t>
  </si>
  <si>
    <t>-03-</t>
  </si>
  <si>
    <t>CEL- NMC_CATL-74Ah</t>
  </si>
  <si>
    <t>SHIP_MOD_CONTAINER</t>
  </si>
  <si>
    <t>L</t>
  </si>
  <si>
    <t>Battery Module</t>
  </si>
  <si>
    <t>MOD_CONTAINER</t>
  </si>
  <si>
    <t>A</t>
  </si>
  <si>
    <t>-04-</t>
  </si>
  <si>
    <t>-05-</t>
  </si>
  <si>
    <t>BAT_40FT-1MWH</t>
  </si>
  <si>
    <t>Battery System</t>
  </si>
  <si>
    <t>BUSBAR-LFP_CATL</t>
  </si>
  <si>
    <t>Busbar; Module</t>
  </si>
  <si>
    <t>BUSBAR-LFP_CATL-MOD-HIGHSIDE</t>
  </si>
  <si>
    <t>BUSBAR-LFP_CATL-MOD-JUMPER</t>
  </si>
  <si>
    <t>BUSBAR-LFP_CATL-MOD-BRICK-JUMPER</t>
  </si>
  <si>
    <t>BUSBAR-LFP_CATL-MOD-LOWSIDE</t>
  </si>
  <si>
    <t>BUSBAR-LFP_Lishen-130Ah</t>
  </si>
  <si>
    <t>BUSBAR-LFP_Lishen-130Ah-JUMPER</t>
  </si>
  <si>
    <t>BUSBAR-LFP_Lishen-130Ah-HIGHSIDE-Cells</t>
  </si>
  <si>
    <t>BUSBAR-LFP_Lishen-130Ah-LOWSIDE</t>
  </si>
  <si>
    <t>BUSBAR-LFP_Lishen-130Ah-BRICK-JUMPER</t>
  </si>
  <si>
    <t>BUSBAR-LFP_Lishen-130Ah-HIGHSIDE-Contactor</t>
  </si>
  <si>
    <t>-06-</t>
  </si>
  <si>
    <t>BUSBAR-LFP_Lishen-130Ah-MID-BRICK-JUMPER</t>
  </si>
  <si>
    <t>-07-</t>
  </si>
  <si>
    <t>BUSBAR-NMC_CATL-74Ah</t>
  </si>
  <si>
    <t>BUSBAR-NMC_CATL-74Ah-HIGHSIDE-Cells</t>
  </si>
  <si>
    <t>BUSBAR-NMC_CATL-74Ah-JUMPER</t>
  </si>
  <si>
    <t>BUSBAR-NMC_CATL-74Ah-LOWSIDE-Cells</t>
  </si>
  <si>
    <t>BUSBAR-LFP_CATL-138Ah-BLADE-LOW</t>
  </si>
  <si>
    <t>COLD-PLATE_PRISMATIC-PACK</t>
  </si>
  <si>
    <t>Cold Plate</t>
  </si>
  <si>
    <t>ENCL_HVDB-RELAX</t>
  </si>
  <si>
    <t>Enclosure</t>
  </si>
  <si>
    <t>ENCL_MOD_CONTAINER</t>
  </si>
  <si>
    <t>HVWIRE_GUCHEN-DUAL-120mm2</t>
  </si>
  <si>
    <t>HV Cable</t>
  </si>
  <si>
    <t>HVWIRE_GUCHEN-DUAL-BEND-120mm2</t>
  </si>
  <si>
    <t>HVWIRE_GUCHEN-MOD-HIGH-120mm2</t>
  </si>
  <si>
    <t>HVWIRE_HONGDA-Single-Core-300MM2</t>
  </si>
  <si>
    <t>HVCABLE_DUAL-120mm2</t>
  </si>
  <si>
    <t>HVCABLE_DUAL-120mm2-BEND</t>
  </si>
  <si>
    <t>HVCABLE_300mm2-AMPH-SAFE</t>
  </si>
  <si>
    <t>CONNECTOR-POWERSAFE_LINE-SOURCE_BLK</t>
  </si>
  <si>
    <t>HV Connector</t>
  </si>
  <si>
    <t>CONNECTOR-POWERSAFE_LINE-SOURCE_RED</t>
  </si>
  <si>
    <t>HVDB-RELAX</t>
  </si>
  <si>
    <t>HV Distribution Box</t>
  </si>
  <si>
    <t>CONTAINER_40FT</t>
  </si>
  <si>
    <t>Shipping Container</t>
  </si>
  <si>
    <t>TREx_MODULE-EXHAUST_202Ah-CATL</t>
  </si>
  <si>
    <t>TR Exhaust Manifold</t>
  </si>
  <si>
    <t>TREx_MODULE-EXHAUST-COLLECTOR_202Ah-CATL</t>
  </si>
  <si>
    <t>TREx_MODULE-EXHAUST-COLLECTOR_130Ah-Lishen</t>
  </si>
  <si>
    <t>TREx_MODULE-EXHAUST_130Ah-Lishen</t>
  </si>
  <si>
    <t>TREx_EXHAUST-SUPPORT_130Ah-Lishen</t>
  </si>
  <si>
    <t>LAYOUT_CELL LEVEL_BOB</t>
  </si>
  <si>
    <t>Layout Drawing</t>
  </si>
  <si>
    <t>LID UPPER, COLD PLATE, BRICK, 21700</t>
  </si>
  <si>
    <t>LID LOWER, COLD PLATE, BRICK 21700</t>
  </si>
  <si>
    <t>FLOW CHANNEL, COLD PLATE, BRICK 21700</t>
  </si>
  <si>
    <t>FITTING, WIGGINS MALE,-08, STRAIGHT</t>
  </si>
  <si>
    <t>Fluid Fitting</t>
  </si>
  <si>
    <t>LAYOUT, CELL TRIPLET OVERLAY, BOB, BETA</t>
  </si>
  <si>
    <t>EVE CELL PART</t>
  </si>
  <si>
    <t>Cell</t>
  </si>
  <si>
    <t>EVE CELL PLASTIC CASE</t>
  </si>
  <si>
    <t>Cell; Case</t>
  </si>
  <si>
    <t>EVE CELL ASSY</t>
  </si>
  <si>
    <t>ASSEMBLY, BOB, EVE 105, FULL</t>
  </si>
  <si>
    <t>Assembly</t>
  </si>
  <si>
    <t>KEEPOUT, ICM, BOB, EVE 105, FULL LAYER</t>
  </si>
  <si>
    <t>K</t>
  </si>
  <si>
    <t>KeepOut / KeepIn Zone</t>
  </si>
  <si>
    <t>FOAM, 550um, PORON 4790-92, 195x124</t>
  </si>
  <si>
    <t>Foam</t>
  </si>
  <si>
    <t>BRICK, EVE CELL</t>
  </si>
  <si>
    <t>BUS BAR; BRICK; EVE CELL; 0V</t>
  </si>
  <si>
    <t>Bus bar</t>
  </si>
  <si>
    <t>COURSE; EVE CELL BRICKS</t>
  </si>
  <si>
    <t>FOAM, 550um, PORON 4790-92, 195x140</t>
  </si>
  <si>
    <t>BUS BAR; BRICK; EVE CELL; U</t>
  </si>
  <si>
    <t>FOAM, 550um, PORON 4790-92, 195x646</t>
  </si>
  <si>
    <t>LAYER, EVE CELLS COURSE</t>
  </si>
  <si>
    <t>BUS BAR; C2C; EVE CELL</t>
  </si>
  <si>
    <t>ASSY, SCU, String Control Unit, BRILL, Master</t>
  </si>
  <si>
    <t>Brill Master Unit per String</t>
  </si>
  <si>
    <t>ASSY, MCU, Module Control Unit, BRILL, Secondary</t>
  </si>
  <si>
    <t>Brill Module Unit</t>
  </si>
  <si>
    <t>ASSY, DCDC, 500KW, BRIGHTLOOP</t>
  </si>
  <si>
    <t>Brightloop DCUHV LP, 500kW</t>
  </si>
  <si>
    <t>ASSY, DCAC, 80KW, BRIGHTLOOP</t>
  </si>
  <si>
    <t>Brightloop ACHVI MP, 80kW</t>
  </si>
  <si>
    <t>FRIKKIE, MBOM</t>
  </si>
  <si>
    <t>Top Level MBOM for FRIKKIE</t>
  </si>
  <si>
    <t>ASSY, 40' High Cube Container</t>
  </si>
  <si>
    <t>As-Bought Container</t>
  </si>
  <si>
    <t>ASSY, WHEEL, HOLONOMIC, MECANUM NM305A</t>
  </si>
  <si>
    <t>Omni-directional high load wheels</t>
  </si>
  <si>
    <t>ASSY, TMS, WEBASTO, EBTM2.0</t>
  </si>
  <si>
    <t>Webasto 8kW heating/cooling TMS</t>
  </si>
  <si>
    <t>RAMP, 40' CONTAINER LEAD-IN</t>
  </si>
  <si>
    <t>ULine Representative Ramp</t>
  </si>
  <si>
    <t>ASSY, HVAC, WEBASTO, COOL TOP 220 RT-C</t>
  </si>
  <si>
    <t>Webasto 22kW HVAC Heat-Pump</t>
  </si>
  <si>
    <t>ASSY, DCDC, 250KW, BRIGHTLOOP, DCHV MP</t>
  </si>
  <si>
    <t>Brightloop DCUHV MP, 250kW</t>
  </si>
  <si>
    <t>ASSY, DCDC, 1.7kW, BRIGHTLOOP, BB SP, 48V, AIR COOLED</t>
  </si>
  <si>
    <t>Brightloop BBSP, 1.7kW 48v Air Cooled</t>
  </si>
  <si>
    <t>ASSY, DCDC, 1.7KW, BRIGHTLOOP, BB SP, 48V, LIQ COOLED</t>
  </si>
  <si>
    <t>Brightloop BBSP, 1.7kW 48v Liquid Cooled</t>
  </si>
  <si>
    <t>COURSE CONTAINER</t>
  </si>
  <si>
    <t>COURSE ASSY; EVE CELL BRICKS</t>
  </si>
  <si>
    <t>COURSE Structure</t>
  </si>
  <si>
    <t>BOB STRUCTURE</t>
  </si>
  <si>
    <t>COLD PLATE, EVE105 COURSE, BOTTOM</t>
  </si>
  <si>
    <t>ASSY, COURSE, EVE105</t>
  </si>
  <si>
    <t>HOUSING, COURSE, EVE105, BOTTOM</t>
  </si>
  <si>
    <t>ASSY, COLD PLATE, EVE105 COURSE</t>
  </si>
  <si>
    <t>COLD PLATE, EVE105 COURSE, TOP</t>
  </si>
  <si>
    <t>ASSY, DCAC, 80KW, BRIGHTLOOP, ACHV MP, 300VAC</t>
  </si>
  <si>
    <t>FRIKKIE, EBOM</t>
  </si>
  <si>
    <t>Top level EBOM</t>
  </si>
  <si>
    <t>RELEASE</t>
  </si>
  <si>
    <t>T</t>
  </si>
  <si>
    <t>Top level ebom, release</t>
  </si>
  <si>
    <t>WIP</t>
  </si>
  <si>
    <t>Top level ebom, wip</t>
  </si>
  <si>
    <t>RLM</t>
  </si>
  <si>
    <t>Top level ebom, rlm</t>
  </si>
  <si>
    <t>SANDBOX</t>
  </si>
  <si>
    <t>Top level ebom, sandbox</t>
  </si>
  <si>
    <t>BATTERY</t>
  </si>
  <si>
    <t>D</t>
  </si>
  <si>
    <t>RELEASE, DOMAIN, BATTERY</t>
  </si>
  <si>
    <t>POWER ELECTRONICS</t>
  </si>
  <si>
    <t>RELEASE, DOMAIN, POWER ELECTRONICS</t>
  </si>
  <si>
    <t>STRUCTURES</t>
  </si>
  <si>
    <t>RELEASE, DOMAIN, STRUCTURES</t>
  </si>
  <si>
    <t>THERMAL</t>
  </si>
  <si>
    <t>RELEASE, DOMAIN, THERMAL</t>
  </si>
  <si>
    <t>LVDS</t>
  </si>
  <si>
    <t>RELEASE, DOMAIN, LVDS</t>
  </si>
  <si>
    <t>Origin P111467945301-2 COLD PLATE ASSEMBLY</t>
  </si>
  <si>
    <t>HVDS</t>
  </si>
  <si>
    <t>RELEASE, DOMAIN, HVDS</t>
  </si>
  <si>
    <t>Origin P111467945301-2 COLD PLATE TOP</t>
  </si>
  <si>
    <t>VENTILATION</t>
  </si>
  <si>
    <t>RELEASE, DOMAIN, VENTILATION</t>
  </si>
  <si>
    <t>Origin P111467945301-2 COLD PLATE BOTTOM</t>
  </si>
  <si>
    <t>DISTRIBUTED ELECTRONICS</t>
  </si>
  <si>
    <t>RELEASE, DOMAIN, DISTRIBUTED ELECTRONICS</t>
  </si>
  <si>
    <t>Origin P111467945301-2 COLD PLATE MIDDLE</t>
  </si>
  <si>
    <t>WIP, DOMAIN, BATTERY</t>
  </si>
  <si>
    <t>Origin P111467945301-2 COLD PLATE PORT</t>
  </si>
  <si>
    <t>WIP, DOMAIN, POWER ELECTRONICS</t>
  </si>
  <si>
    <t>Based on the 6670 lbs racks</t>
  </si>
  <si>
    <t>WIP, DOMAIN, STRUCTURES</t>
  </si>
  <si>
    <t>Based on EVE105, Lishen130, Molicell 21700s</t>
  </si>
  <si>
    <t>WIP, DOMAIN, THERMAL</t>
  </si>
  <si>
    <t>Hand measured with calliper</t>
  </si>
  <si>
    <t>WIP, DOMAIN, LVDS</t>
  </si>
  <si>
    <t>WIP, DOMAIN, HVDS</t>
  </si>
  <si>
    <t>WIP, DOMAIN, VENTILATION</t>
  </si>
  <si>
    <t>WIP, DOMAIN, DISTRIBUTED ELECTRONICS</t>
  </si>
  <si>
    <t>RLM, DOMAIN, BATTERY</t>
  </si>
  <si>
    <t>RLM, DOMAIN, POWER ELECTRONICS</t>
  </si>
  <si>
    <t>RLM, DOMAIN, STRUCTURES</t>
  </si>
  <si>
    <t>RLM, DOMAIN, THERMAL</t>
  </si>
  <si>
    <t>RLM, DOMAIN, LVDS</t>
  </si>
  <si>
    <t>RLM, DOMAIN, HVDS</t>
  </si>
  <si>
    <t>RLM, DOMAIN, VENTILATION</t>
  </si>
  <si>
    <t>RLM, DOMAIN, DISTRIBUTED ELECTRONICS</t>
  </si>
  <si>
    <t>HOUSING, DCDC, ODOMETER, SUBALPHA</t>
  </si>
  <si>
    <t>"Super Cell Odometer"</t>
  </si>
  <si>
    <t>Twig Designed DCDC Housing</t>
  </si>
  <si>
    <t>ASSY, DISPLAY, ODOMETER, SUBALPHA</t>
  </si>
  <si>
    <t>Twig Designed VividCAN Housing ASSY</t>
  </si>
  <si>
    <t>.STP provided by Brill</t>
  </si>
  <si>
    <t>ASSY, PACKMAN</t>
  </si>
  <si>
    <t>Twig Designed Packamanger ASSY</t>
  </si>
  <si>
    <t>ASSY, SIGNAL CONDITIONING MODULE, SUBALPHA</t>
  </si>
  <si>
    <t>Twig Designed Signal Conditioning Module ASSY</t>
  </si>
  <si>
    <t>.STP provided by Brightloop</t>
  </si>
  <si>
    <t>ASSY, POWER HUB, USB, SUBALPHA</t>
  </si>
  <si>
    <t>Twig Designed USB POWER MODULE ASSY</t>
  </si>
  <si>
    <t>ASSY, SUPER CELL, SUBALPHA</t>
  </si>
  <si>
    <t>Kyma Designed and Integrated Top Level ASSY</t>
  </si>
  <si>
    <t>ASSY, ENCLOSURE, SUBALPHA</t>
  </si>
  <si>
    <t>Stahlin Large</t>
  </si>
  <si>
    <t>Stahlin PC1210CC</t>
  </si>
  <si>
    <t>ASSY, KIT, ODOMETER, ALPHA</t>
  </si>
  <si>
    <t>&lt;&lt;BREAK to 7 digit Part Number&gt;&gt;</t>
  </si>
  <si>
    <t>&lt;&lt;break&gt;&gt;</t>
  </si>
  <si>
    <t>ASSY,COLD  PLATE, BRICK, 21700</t>
  </si>
  <si>
    <t>Assembly, Cold Plate Cylindrical Brick</t>
  </si>
  <si>
    <t>Assembly Top Level</t>
  </si>
  <si>
    <t>CELL, BATTERY, EVE105</t>
  </si>
  <si>
    <t>Part</t>
  </si>
  <si>
    <t>LAYOUT, PALLET RACK, HQ 101_ALPHA</t>
  </si>
  <si>
    <t>Battery Store Management</t>
  </si>
  <si>
    <t>BOB, ALPHA</t>
  </si>
  <si>
    <t>ASSY, DCAC, 80KW, BRIGHTLOOP, ACHV MP, 480VAC</t>
  </si>
  <si>
    <t>ASSY, DCDC, 4.8kW, BRIGHTLOOP, BBMP, 48V</t>
  </si>
  <si>
    <t>ASSY, DCDC, 1.7KW, BRIGHTLOOP, BBSP, 48V</t>
  </si>
  <si>
    <t>.STP provided by TWIG</t>
  </si>
  <si>
    <t>ASSY, PDUX2, 48V, LIFE RACING</t>
  </si>
  <si>
    <t>ASSY, PDUX2, 12V, LIFE RACING</t>
  </si>
  <si>
    <t>CONTACTOR, HV, HX241BAC, GIGAVAC</t>
  </si>
  <si>
    <t>CAPACTIOR, HV, 3.4 mF, C44U0GT7340M33K, KEMET</t>
  </si>
  <si>
    <t>CAPACTIOR, HV, 800 uF, C44UHGT6800M82K, KEMET</t>
  </si>
  <si>
    <t>BUS BAR, HV, MCU JUMPER, TYPE01</t>
  </si>
  <si>
    <t>BUS BAR, HV, MCU JUMPER, TYPE02</t>
  </si>
  <si>
    <t>ASSY, DCDC, 4.8kW, BRIGHTLOOP, MPQ_01, 960V To 56V, 4X OUT</t>
  </si>
  <si>
    <t>ASSY, DCDC, 4.8KW, 960V TO 56V, 2X OUT, BRIGHTLOOP, BLV_118_00_MUT_00</t>
  </si>
  <si>
    <t>ASSY, DCDC, 4.8KW, BRIGHTLOOP, MPD, 960V TO 56V, 3X OUT</t>
  </si>
  <si>
    <t>ASSY, FAN, 305MM, BRUSHED, SPAL</t>
  </si>
  <si>
    <t>TERMINAL, LUG, 4AWG, WURTH, 5580625</t>
  </si>
  <si>
    <t>STANDOFF, DIELECTRIC, 15MM X 80MM, FR4</t>
  </si>
  <si>
    <t>BOLT, M4X90MM, SOCKET HEAD, STEEL, MCMASTER 91290A183</t>
  </si>
  <si>
    <t>CONNECTOR, RJ45, MCMASTER 4172T191</t>
  </si>
  <si>
    <t>CONNECTOR, RJ45, UP-ROTATION, WEIDMULLER 1518080000</t>
  </si>
  <si>
    <t>CONNECTOR, RJ45, DN-ROTATION, WEIDMULLER 1518080000</t>
  </si>
  <si>
    <t>CONNECTOR, RJ45, RT-ROTATION, WEIDMULLER 1518080000</t>
  </si>
  <si>
    <t>CONNECTOR, RJ45, LT-ROTATION, WEIDMULLER 1518080000</t>
  </si>
  <si>
    <t>CONNECTOR, RJ45, BUS-TERMINATOR, L-COM, MOD27T</t>
  </si>
  <si>
    <t>PLATE, MOUNTING, MCU, FR4</t>
  </si>
  <si>
    <t>PLATE, LATERAL DOUBLE, MCU, FR4, TYPE01</t>
  </si>
  <si>
    <t>PLATE, LATERAL DOUBLE, MCU, FR4, TYPE02</t>
  </si>
  <si>
    <t>HEAT EXCHANGER, 0.3M X 0.8M X 0.05M</t>
  </si>
  <si>
    <t>BOB, MBOM, ALPHA, CONFIG 01.1</t>
  </si>
  <si>
    <t>BEARING, 228MM ID, 248MM OD, 12.7MM,JSU090XP0, SILVERTHIN</t>
  </si>
  <si>
    <t>SPACER, 194MM X 129MM, MICA, MCMASTER 85825K41-BASED</t>
  </si>
  <si>
    <t>FOAM, 194MM X 129MM, PORON, MCMASTER 86375K133-BASED</t>
  </si>
  <si>
    <t>SPACER, 194MM X 658MM, MICA, MCMASTER 85825K41-BASED</t>
  </si>
  <si>
    <t>FOAM, 194MM X 220MM, PORON, MCMASTER 86375K133-BASED</t>
  </si>
  <si>
    <t>SPACER, 194MM X 152MM, MICA, MCMASTER 85825K41-BASED</t>
  </si>
  <si>
    <t>FOAM, 194MM X 152MM, PORON, MCMASTER 86375K133-BASED</t>
  </si>
  <si>
    <t>SPACER, 665MM X 155MM, MICA, MCMASTER 85825K41-BASED</t>
  </si>
  <si>
    <t>BASE, MODULE, BATTERY</t>
  </si>
  <si>
    <t>DOWEL, HOLLOW, 8MM X 12MM, MCMASTER 97184A220</t>
  </si>
  <si>
    <t>SIDE, MODULE, BATTERY, TYPE01</t>
  </si>
  <si>
    <t>BOLT, M6X180MM, SOCKET HEAD, STEEL, MCMASTER 91290A114</t>
  </si>
  <si>
    <t>NUT, M6 X 1MM, COARSE, MCMASTER 97700A140</t>
  </si>
  <si>
    <t>WASHER, M6, MCMASTER 98269A450</t>
  </si>
  <si>
    <t>SIDE, MODULE, BATTERY, TYPE02</t>
  </si>
  <si>
    <t>STANDOFF, DIELECTRIC, 12MM X 156.5MM, FR4</t>
  </si>
  <si>
    <t>BOLT, M5 X 20MM, BUTTON HEAD, STEEL, MCMASTER 90942A126</t>
  </si>
  <si>
    <t>WASHER, M5 X 1MM, COARSE, MCMASTER 98269A440</t>
  </si>
  <si>
    <t>BUS BAR, BRICK, EVE105, POWER CONFIG, 2P5S</t>
  </si>
  <si>
    <t>BOLT, M4 X 8MM, BUTTON HEAD, STEEL, MCMASTER 90304A316</t>
  </si>
  <si>
    <t>WASHER, M4 X 1MM, COARSE, MCMASTER 98269A430</t>
  </si>
  <si>
    <t>PLATE, CLOSEOUT, BATTERY</t>
  </si>
  <si>
    <t>ASSY, HOUSING, 12"X10"X7", STAHLIN PC1210CC</t>
  </si>
  <si>
    <t>ASSY, STRUCTURE, 5.7'X 2.4'x 2', ALPHA 1.1 CONFIG</t>
  </si>
  <si>
    <t>T-SLOTTED FRAMING, 40MM X 20MM X 640MM</t>
  </si>
  <si>
    <t>T-SLOTTED FRAMING, 40MM X 20MM X 1739MM</t>
  </si>
  <si>
    <t>T-SLOTTED FRAMING, 40MM X 20MM X 694MM</t>
  </si>
  <si>
    <t>BB01-5016768, T-SLOTTED FRAMING, 40MM X 20MM X 694MM</t>
  </si>
  <si>
    <t>SLIDER, STRUCTURE, ALPHA, TIPO 1</t>
  </si>
  <si>
    <t>SLIDER, STRUCTURE, ALPHA, TIPO 2</t>
  </si>
  <si>
    <t>ASSY, SIDE STRUCTURE, 5.7'X 2.4'x 2', ALPHA 1.1 CONFIG</t>
  </si>
  <si>
    <t>GUSSET BRACKET, 51/64" L, 20MM DUBLE/QUAD RAIL</t>
  </si>
  <si>
    <t>END-FEED NUT AND M5 THREAD BUTTON HEAD FOR 20 MM HIGH RAIL</t>
  </si>
  <si>
    <t>TRAY, MODULE SLIDER STRUCTURE, ALPHA</t>
  </si>
  <si>
    <t>SLIDER, 0.5", BATTERY MODULE ASSY, ALPHA1, MCMASTER 5709N17 BASE</t>
  </si>
  <si>
    <t>BOLT, M4 X 16MM, BUTTON HEAD, STEEL, MCMASTER 90942A121</t>
  </si>
  <si>
    <t>BOLT, M5 X 16MM, BUTTON HEAD, STEEL, MCMASTER 90942A125</t>
  </si>
  <si>
    <t>BOLT, M5 X 12MM, BUTTON HEAD, STEEL, MCMASTER 90942A124</t>
  </si>
  <si>
    <t>MOUNT, TY-WRAP, TC105</t>
  </si>
  <si>
    <t>CONNECTOR, SURLOK, 5.7MM, RIGHT ANGLE, SLPPA16BSB</t>
  </si>
  <si>
    <t>CONNECTOR, SURLOK, 5.7MM, RIGHT ANGLE, SLPPA16BSBR1</t>
  </si>
  <si>
    <t>CONNECTOR, SURLOK, 5.7MM, RIGHT ANGLE, SLPPA16BSBR2</t>
  </si>
  <si>
    <t>CONNECTOR, SOURIAU, 8STA6-0835PN</t>
  </si>
  <si>
    <t>CONNECTOR, HV, PL182X_61_2.5, AMPHENOL</t>
  </si>
  <si>
    <t>COUPLING, AW 994-10D, ADEL WIGGINS</t>
  </si>
  <si>
    <t>COMPUTE, BCN - BOB CONTROL NODE, ONLOGIC HX511, WALL MOUNT</t>
  </si>
  <si>
    <t>BOB, EBOM, ALPHA1</t>
  </si>
  <si>
    <t>TWIG</t>
  </si>
  <si>
    <t>ASSY, CHASSIS, ALPHA1</t>
  </si>
  <si>
    <t>ASSY, SCU, STRING CONTROL UNIT</t>
  </si>
  <si>
    <t>Brill Power</t>
  </si>
  <si>
    <t>LID, SCU</t>
  </si>
  <si>
    <t>MOUNTING PLATE, SCU</t>
  </si>
  <si>
    <t>CAPACTIOR, HV, 100 uF, C4DENPQ6100A8TK, KEMET</t>
  </si>
  <si>
    <t>Brightloop</t>
  </si>
  <si>
    <t>ASSY, HVCC BOX, HV CONTACTOR AND CAP BOX, ALPHA</t>
  </si>
  <si>
    <t>ASSY, HOUSING, 8"x8"x4", STAHLIN DSW80804HPL</t>
  </si>
  <si>
    <t>PLATE, MOUNTING, MCU, FR4, TYPE02</t>
  </si>
  <si>
    <t>CONNECTOR, CAMLOCK, 400A, BLACK, MCMASTER 8030K572</t>
  </si>
  <si>
    <t>CONNECTOR, CAMLOCK, 400A, BLUE, MCMASTER 8030K574</t>
  </si>
  <si>
    <t>Life Racing</t>
  </si>
  <si>
    <t>CONNECTOR, CAMLOCK, 400A, GREEN, MCMASTER 8030K575</t>
  </si>
  <si>
    <t>CONNECTOR, CAMLOCK, 400A, RED, MCMASTER 8030K573</t>
  </si>
  <si>
    <t>Gigavac</t>
  </si>
  <si>
    <t>CONNECTOR, CAMLOCK, 400A, WHITE, MCMASTER 8030K571</t>
  </si>
  <si>
    <t>Kemet</t>
  </si>
  <si>
    <t xml:space="preserve">COLLAR, TAPERED, MACHINED, TAPPED </t>
  </si>
  <si>
    <t>COLLAR, TAPERED, MACHINED, DRILLED</t>
  </si>
  <si>
    <t>Make</t>
  </si>
  <si>
    <t>ASSY, BATTERY, 48V, 2.0 kWHr, ABS 100000</t>
  </si>
  <si>
    <t>FAN, 19CFM, 24V, CFM-7015B-230-295-22</t>
  </si>
  <si>
    <t>STUD, M4X8MM, MCMASTER 93580A591</t>
  </si>
  <si>
    <t>ASSY, BUS BAR, EVE105, POWER CONFIG, 2P5S</t>
  </si>
  <si>
    <t>BUS BAR, BRICK, EVE105, POWER CONFIG, 2P5S, SINGLE</t>
  </si>
  <si>
    <t>ASSY, BUS BAR, EVE105, POWER CONFIG, 2P5S, SINGLE</t>
  </si>
  <si>
    <t>BOLT, M5X22MM, BUTTON HEAD, SS18-8, MCMASTER 92095A482</t>
  </si>
  <si>
    <t>BOB, EBOM, BETA</t>
  </si>
  <si>
    <t>BOB, BETA</t>
  </si>
  <si>
    <t>BOB, EBOM, MENTONE SPECIAL</t>
  </si>
  <si>
    <t>BOB, MENTONE SPECIAL</t>
  </si>
  <si>
    <t>Thin Gap</t>
  </si>
  <si>
    <t>BOB, EBOM, ALPHA2</t>
  </si>
  <si>
    <t>SKF</t>
  </si>
  <si>
    <t>DOMAIN, BATTERY</t>
  </si>
  <si>
    <t>SUPPLIERS</t>
  </si>
  <si>
    <t>SUPP</t>
  </si>
  <si>
    <t>REPO FOR ALL SUPPLIER STUFFS</t>
  </si>
  <si>
    <t>MAKE</t>
  </si>
  <si>
    <t>DOMAIN, DISTRIBUTED ELECTRONICS</t>
  </si>
  <si>
    <t>BUY</t>
  </si>
  <si>
    <t>DOMAIN, LVDS</t>
  </si>
  <si>
    <t>DOMAIN, HVDS</t>
  </si>
  <si>
    <t>DOMAIN, POWER ELECTRONICS</t>
  </si>
  <si>
    <t>DOMAIN, THERMAL</t>
  </si>
  <si>
    <t>DOMAIN, SAFETY</t>
  </si>
  <si>
    <t>DOMAIN, STRUCTURES</t>
  </si>
  <si>
    <t>Jaiden Walmsley</t>
  </si>
  <si>
    <t>ASSY, MODULE, BATTERY, EVE105</t>
  </si>
  <si>
    <t>SUPPLIER, BRIGHTLOOP</t>
  </si>
  <si>
    <t>S</t>
  </si>
  <si>
    <t>BRIGHTLOOP</t>
  </si>
  <si>
    <t>TOP LEVEL COLLECTOR FOR BRIGHTLOOP HW</t>
  </si>
  <si>
    <t>SUPPLIER, BRILL POWER</t>
  </si>
  <si>
    <t>BRILL POWER</t>
  </si>
  <si>
    <t>TOP LEVEL COLLECTOR FOR BRILL POWER HW</t>
  </si>
  <si>
    <t>CELL, PENGHUI 100AHR</t>
  </si>
  <si>
    <t>ASSY, HINGED CAP, CYLINDRICAL</t>
  </si>
  <si>
    <t>Cell Cap Prototype</t>
  </si>
  <si>
    <t>MACHINE</t>
  </si>
  <si>
    <t>BODY, CYLINDRICAL CELL CAP</t>
  </si>
  <si>
    <t>LID, HINGED, CYLINDRICAL CELL CAP</t>
  </si>
  <si>
    <t>HYDROVOLT, EBOM, ALPHA</t>
  </si>
  <si>
    <t>HYDROVOLT, ALPHA</t>
  </si>
  <si>
    <t>ASSY, MOTOR, MF0255025-C00, ALLIED MOTION</t>
  </si>
  <si>
    <t>ASSY, MOTOR, MF0310025-C00, ALLIED MOTION</t>
  </si>
  <si>
    <t>ASSY, MOTOR, LSI 267-58, THIN GAP</t>
  </si>
  <si>
    <t>BEARING, 220MM ID, 270MM OD, 24MM, 61844, SKF</t>
  </si>
  <si>
    <t>BEARING, 260MM ID, 320MM OD, 28MM, 61852, SKF</t>
  </si>
  <si>
    <t>TURBINE, MACHINED, TI, CUSTOM</t>
  </si>
  <si>
    <t>SEAL, BEARING, DYNAMIC, FRONT, SKF</t>
  </si>
  <si>
    <t>SPRING, BEARING, DYNAMIC FRONT, SKF</t>
  </si>
  <si>
    <t>SEAL, BEARING, DYNAMIC, REAR, SKF</t>
  </si>
  <si>
    <t>SPRING, BEARING, DYNAMIC REAR, SKF</t>
  </si>
  <si>
    <t>CAP, MACHINED, ALI, CUSTOM</t>
  </si>
  <si>
    <t>HOUSING, MACHINED, ALI, CUSTOM</t>
  </si>
  <si>
    <t>BEARING, 190MM ID, 240MM OD, 24MM, 61838, SKF</t>
  </si>
  <si>
    <t>BEARING, 300MM ID, 316MM OD, 8MM, SM30008AR0, SILVERTHIN</t>
  </si>
  <si>
    <t>BEARING, 254MM ID, 267MM OD, 6.35MM, SA100CP0, SILVERTHIN</t>
  </si>
  <si>
    <t>BEARING, 200MM ID, 250MM OD, 6.35MM, 61840, SKF</t>
  </si>
  <si>
    <t>BLADE, TURBINE, HYDROVOLT, TYPE01</t>
  </si>
  <si>
    <t>DOVETAIL, TURBINE, HYDROVOLT</t>
  </si>
  <si>
    <t>BOLT, M6, SHOULDER BOLT, 8X11MM, 316SS, MCMASTER 90318A950</t>
  </si>
  <si>
    <t>ASSY, TURBINE BLADE, HYDROVOLT, TYPE01</t>
  </si>
  <si>
    <t>PLATE, MOTOR CLAMP RING, HYDROVOLT</t>
  </si>
  <si>
    <t>PLATE, BLADE CLAMP RING, HYDROVOLT</t>
  </si>
  <si>
    <t>PLATE, SCH80 WASHER PLATE, HYDROVOLT</t>
  </si>
  <si>
    <t>DOWEL, SOLID, 1/4" X 5/16", MCMASTER 90145A815</t>
  </si>
  <si>
    <t>BUILD TOOLING, GSE ASSY, HYDROVOLT</t>
  </si>
  <si>
    <t>KYMA_CEL-21700_SINGLE_COLDPLATE, TMS-LR, SENSE-1</t>
  </si>
  <si>
    <t>Manufactured Cell Concept</t>
  </si>
  <si>
    <t>PASSPORT_KYMA-CEL</t>
  </si>
  <si>
    <t>Battery Passport</t>
  </si>
  <si>
    <t>BUSBAR_KYMA-CEL_CYL</t>
  </si>
  <si>
    <t>Busbar; Cell</t>
  </si>
  <si>
    <t>BUSBAR_KYMA-CEL_TERMINAL-LOW-SIDE</t>
  </si>
  <si>
    <t>BUSBAR_KYMA-CEL_TERMINAL-HIGH-SIDE</t>
  </si>
  <si>
    <t>BUSBAR_KYMA-CEL-_AL-CELL-WELD-SHEET</t>
  </si>
  <si>
    <t>Busbar Weld Sheet; Cell</t>
  </si>
  <si>
    <t>BUSBAR_KYMA-CEL_AL_LOW-SIDE</t>
  </si>
  <si>
    <t>BUSBAR_KYMA-CEL_AL_HIGH-SIDE</t>
  </si>
  <si>
    <t>BUSBAR_KYMA-CEL_AL-CELL-WELDS-HIGH</t>
  </si>
  <si>
    <t>Busbar Wire Bonds; Cell</t>
  </si>
  <si>
    <t>BUSBAR-INSULATION_KYMA-CEL-CURRENT-COLLECTOR</t>
  </si>
  <si>
    <t>Insulation; Cell</t>
  </si>
  <si>
    <t>BUSBARS-ASY_KYMA-CEL</t>
  </si>
  <si>
    <t>BUSBAR_KYMA-CEL_POUCH-LOW-SIDE</t>
  </si>
  <si>
    <t>BUSBAR_KYMA-CEL_POUCH-TERMINAL-LOW-SIDE</t>
  </si>
  <si>
    <t>Rab Chab</t>
  </si>
  <si>
    <t>BUSBAR_KYMA-CEL_POUCH-HIGH-SIDE</t>
  </si>
  <si>
    <t>BUSBAR_KYMA-CEL_POUCH-TERMINAL-HIGH-SIDE</t>
  </si>
  <si>
    <t>COLD-PLATE_CEL_KYMA-CYLINDRICAL</t>
  </si>
  <si>
    <t>COLD-PLATE_CEL_KYMA-POUCH_BOTTOM</t>
  </si>
  <si>
    <t>COLD-PLATE_CEL_KYMA-POUCH_TOP</t>
  </si>
  <si>
    <t>COOLANT-LINES_CEL-KYMA-PRISMATIC</t>
  </si>
  <si>
    <t>Coolant Distribution Assembly; Cell</t>
  </si>
  <si>
    <t>COOLANT-HOSE_KYMA-CELL-CYL</t>
  </si>
  <si>
    <t>Coolant Line</t>
  </si>
  <si>
    <t>COOLANT-HOSE_KYMA-CELL-POUCH</t>
  </si>
  <si>
    <t>ENCL_KYMA-CEL_BASE</t>
  </si>
  <si>
    <t>Enclosure, Cell</t>
  </si>
  <si>
    <t>ENCL_KYMA-CEL_BASE-POUCH</t>
  </si>
  <si>
    <t>ENCL_CEL-KYMA_NMC-21700</t>
  </si>
  <si>
    <t>ENCL_CEL-KYMA_POUCH</t>
  </si>
  <si>
    <t>ENCL_CEL-KYMA_CYL-POTTING</t>
  </si>
  <si>
    <t>POTTING_KYMA-CEL</t>
  </si>
  <si>
    <t>Potting Material</t>
  </si>
  <si>
    <t>SUPPORT_KYMA-CEL_MID-CYLINDRICAL</t>
  </si>
  <si>
    <t>Support; Cell</t>
  </si>
  <si>
    <t>SUPPORT_KYMA-CEL_MID-POUCH</t>
  </si>
  <si>
    <t>PROVIDED BY BRIGHTLOOP</t>
  </si>
  <si>
    <t>SUPPORT_KYMA-CEL_POUCH-SEPARATOR</t>
  </si>
  <si>
    <t>SUPPORT_KYMA-CEL_POUCH_END-CAP</t>
  </si>
  <si>
    <t>SUPPORT_KYMA-CEL_POUCH_BACK-CAP-SIDE1</t>
  </si>
  <si>
    <t>SUPPORT_KYMA-CEL_POUCH_BACK-CAP-SIDE2</t>
  </si>
  <si>
    <t>ENCL_KYMA-CEL_TOPHAT</t>
  </si>
  <si>
    <t>TR Barrier; Cell</t>
  </si>
  <si>
    <t>ENCL_KYMA-CEL_TOPHAT-ALUM</t>
  </si>
  <si>
    <t>HARNESS_KYMA-CEL-SENSE-1</t>
  </si>
  <si>
    <t>Wire Harness Assembly; Cell</t>
  </si>
  <si>
    <t>KYMA_CEL-POUCH_DUAL_COLDPLATE</t>
  </si>
  <si>
    <t>KYMA_CEL-46800_SUBMERGED-COOLING</t>
  </si>
  <si>
    <t>SUPPORT_KYMA-CEL_MID-_46800</t>
  </si>
  <si>
    <t>BUSBAR-INSULATION_KYMA-CEL-46800</t>
  </si>
  <si>
    <t>BUSBAR_KYMA-CEL-_AL-CELL-WELD-SHEET_46800</t>
  </si>
  <si>
    <t>Buy</t>
  </si>
  <si>
    <t>BUSBAR_KYMA-CEL_46800_LOW-SIDE</t>
  </si>
  <si>
    <t>BUSBAR_KYMA-CEL_46800_HIGH-SIDE</t>
  </si>
  <si>
    <t>BUSBAR_KYMA-CEL-_AL-CELL-WELDS-HIGH_46800</t>
  </si>
  <si>
    <t>ODOMETER_KYMA-CEL_V1</t>
  </si>
  <si>
    <t>Odometer</t>
  </si>
  <si>
    <t>HARNESS_KYMA-CEL_ODOMETER</t>
  </si>
  <si>
    <t>FIXTURE_CELL-TAB-ALIGNMENT</t>
  </si>
  <si>
    <t>Assembly Fixture</t>
  </si>
  <si>
    <t>FIXTURE_CELL-TAB-WELD</t>
  </si>
  <si>
    <t>LAYOUT_KYMA_HQ_20195LAMBERTON</t>
  </si>
  <si>
    <t>N/A - Building Layout</t>
  </si>
  <si>
    <t>LAYOUT_KYMA_HQ_1500HALBLEIB</t>
  </si>
  <si>
    <t>Layout Drawing - CHIPPEWA FALLS</t>
  </si>
  <si>
    <t>SENSOR, CURRENT, ODOMETER, ALPHA</t>
  </si>
  <si>
    <t>ODOMETER, ALPHA</t>
  </si>
  <si>
    <t>BOB, EBOM</t>
  </si>
  <si>
    <t>og BOB domain-based</t>
  </si>
  <si>
    <t>DDOMIKAITIS</t>
  </si>
  <si>
    <t>SANDBOX, DAN</t>
  </si>
  <si>
    <t>ASOPALOVIC</t>
  </si>
  <si>
    <t>SANDBOX, ANA</t>
  </si>
  <si>
    <t>ASSEMBLY_SUNGROW_ST2236UX-US</t>
  </si>
  <si>
    <t>Sungrow 0.6MW PV Solar Redeploy</t>
  </si>
  <si>
    <t>TOP LEVEL SUPPLIER ASSEMBLY REPO</t>
  </si>
  <si>
    <t>TECH DEVELOPMENT</t>
  </si>
  <si>
    <t>TOOLING, CELL MEASUREMENT</t>
  </si>
  <si>
    <t>Tooling</t>
  </si>
  <si>
    <t>SUPPLIER, WEBASTO</t>
  </si>
  <si>
    <t>WEBASTO</t>
  </si>
  <si>
    <t>TOP LEVEL COLLECTOR FOR WEBASTO HW</t>
  </si>
  <si>
    <t>BASEPLATE, MACHINED, BUILD TOOLING, HYDROVOLT</t>
  </si>
  <si>
    <t>DELRING ROD, MACHINED, BUILD TOOLING, HYDROVOLT</t>
  </si>
  <si>
    <t>EMERGENCY STOP, 3 POLES, SOBEK Z-I 2005 0049</t>
  </si>
  <si>
    <t>HINGE, M6, LIFT OFF, MCMASTER 11955A67</t>
  </si>
  <si>
    <t>OUTER DOOR, FORMED, ALU - THK 3.2MM</t>
  </si>
  <si>
    <t>ASSY, OUTER DOOR</t>
  </si>
  <si>
    <t>INNER DOOR, FORMED, ALU - THK 3.2MM</t>
  </si>
  <si>
    <t>CAMLOCK, FORMED, ALU - THK 3.2MM</t>
  </si>
  <si>
    <t>PEM STUD SS, M4 X 18 MM, MCMASTER 93580A725</t>
  </si>
  <si>
    <t>prototype</t>
  </si>
  <si>
    <t>production</t>
  </si>
  <si>
    <t>B</t>
  </si>
  <si>
    <t>C</t>
  </si>
  <si>
    <t>E</t>
  </si>
  <si>
    <t>F</t>
  </si>
  <si>
    <t>G</t>
  </si>
  <si>
    <t>H</t>
  </si>
  <si>
    <t>I</t>
  </si>
  <si>
    <t>J</t>
  </si>
  <si>
    <t>M</t>
  </si>
  <si>
    <t>N</t>
  </si>
  <si>
    <t>O</t>
  </si>
  <si>
    <t>Q</t>
  </si>
  <si>
    <t>R</t>
  </si>
  <si>
    <t>U</t>
  </si>
  <si>
    <t>V</t>
  </si>
  <si>
    <t>W</t>
  </si>
  <si>
    <t>X</t>
  </si>
  <si>
    <t>Y</t>
  </si>
  <si>
    <t>Z</t>
  </si>
  <si>
    <t>WASHER, M5 X 2.5MM, NORDLOCK, MCMASTER 91812A227</t>
  </si>
  <si>
    <t>BOLT, SHOULDER, M4 X 20MM, MCMASTER 90318A830</t>
  </si>
  <si>
    <t>BLADE, TURBINE, HYDROVOLT, TYPE03</t>
  </si>
  <si>
    <t>COMPUTE, TCH - TOUCH DISPLAY, ONLOGIC TN101, PANEL MOUNT</t>
  </si>
  <si>
    <t>NUT INSERT, KEENSERT, M2.5, MCMASTER 93715S315</t>
  </si>
  <si>
    <t>NUT INSERT, KEENSERT, 1/2", MCMASTER 93340A330</t>
  </si>
  <si>
    <t>BOLT, ALLOY STEEL 12-POINT, 5/8" X 3" 91271A806</t>
  </si>
  <si>
    <t>NUT INSERT, KEENSERT, 5/8", MCMASTER 91731A058</t>
  </si>
  <si>
    <t>PRESS SLEEVE, BEARING, ALUMINUM</t>
  </si>
  <si>
    <t>CONNECTOR, HARNESS-SIDE, HVDC, TE, C-2-2310922-1-B</t>
  </si>
  <si>
    <t>CONNECTOR, PANEL-SIDE, HVDC, TE, C-2322122-1-C</t>
  </si>
  <si>
    <t>CONNECTOR, PANEL-SIDE, COMMS, TE, C-DT04-12PA-L012</t>
  </si>
  <si>
    <t>CONNECTOR, SURLOK, 8.0MM, RIGHT ANGLE, SLPPB35BSR</t>
  </si>
  <si>
    <t>CONNECTOR, GT CONTACT, 10PIN, GT152229-21121</t>
  </si>
  <si>
    <t>MOUNT, FAN, MCU, 19CFM, DOUBLE</t>
  </si>
  <si>
    <t>STANDOFF, MCU, DOUBLE</t>
  </si>
  <si>
    <t>COVER, MCU, DOUBLE</t>
  </si>
  <si>
    <t>BOLT, M4X10MM, SOCKET HEAD, STEEL, MCMASTER 91290A144</t>
  </si>
  <si>
    <t>BOLT, M4X20MM, SOCKET HEAD, STEEL, MCMASTER 91290A168</t>
  </si>
  <si>
    <t>BOLT, M4X100MM, SOCKET HEAD, STEEL, MCMASTER 91290A185</t>
  </si>
  <si>
    <t>MOUNT, FAN, MCU, 19CFM, DOUBLE, PASS THRU BOLTS</t>
  </si>
  <si>
    <t>STANDOFF, MCU, DOUBLE, PASS THRU</t>
  </si>
  <si>
    <t>HANDLE, PULL, 5", MODULE, ALPHA, MCMASTER 2471N3</t>
  </si>
  <si>
    <t>HANDLE, PULL, 4", MODULE, ALPHA, MCMASTER 2471N1</t>
  </si>
  <si>
    <t>BUSHING, T-HAT, M6X7MM</t>
  </si>
  <si>
    <t>BOLT, M6X25MM, 12-POINT, MCMASTER 93700A213</t>
  </si>
  <si>
    <t>Intellectual Property</t>
  </si>
  <si>
    <t>BOLT, M6X25MM, 8020, STANDARD, 8020.NET 25-3895</t>
  </si>
  <si>
    <t>BOLT, 5/16-18 X 3/4", 8020.NET 3293</t>
  </si>
  <si>
    <t>BOLT, 1/4/20 X 3/4", 8020.NET 3115</t>
  </si>
  <si>
    <t>BUS BAR, MCU, POSITIVE TERMINAL</t>
  </si>
  <si>
    <t>BUS BAR, MCU, NEGATIVE TERMINAL</t>
  </si>
  <si>
    <t>TERMINAL, LUG, 6AWG, WURTH, 5580516</t>
  </si>
  <si>
    <t>HELICOIL, 5/16, STAINLESS STEEL, MCMASTER 91732A744</t>
  </si>
  <si>
    <t>NUT INSERT, KEENSERT, 5/16", MCMASTER 93340A315</t>
  </si>
  <si>
    <t>BONDED WASHER, STAINLESS, MCMASTER 90467A132</t>
  </si>
  <si>
    <t>NUT INSERT, KEENSERT, 1/4", MCMASTER 93340A310</t>
  </si>
  <si>
    <t>ORING, NITRILE, 9.975" ID, MCMASTER 9452K433</t>
  </si>
  <si>
    <t>ORING, NITRILE, 215MM ID, MCMASTER 1302N232</t>
  </si>
  <si>
    <t>NUT INSERT, KEENSERT, #8, MCMASTER 91731A047</t>
  </si>
  <si>
    <t>WASHER, NORDLOCK 5/8", MCMASTER 91812A235</t>
  </si>
  <si>
    <t>ASSY, FRONT STRUCTRUCE, ALPHA CONFIG 01.1</t>
  </si>
  <si>
    <t>ASSY, BACK STRUCTRUCE, ALPHA CONFIG 01.1</t>
  </si>
  <si>
    <t>ASSEMBLY</t>
  </si>
  <si>
    <t>LOCATING PIN, 3064N11</t>
  </si>
  <si>
    <t>ASSY, MODULE SUPPORT STRUCTURE</t>
  </si>
  <si>
    <t>ASSY, TOP BRACING, SIDE</t>
  </si>
  <si>
    <t>ASSY, TOP BRACING, MIDDLE</t>
  </si>
  <si>
    <t>CONNECTOR, ASU003-05PN, MILSPEC</t>
  </si>
  <si>
    <t>CONNECTOR, DT04-3P-L012, DEUTSCH</t>
  </si>
  <si>
    <t>ORING, NITRILE, 13.25" OD, MCMASTER 9452K377</t>
  </si>
  <si>
    <t>WASHER, 1/2" , NORDLOCK, MCMASTER 91812A233</t>
  </si>
  <si>
    <t>PIPE FLANGE, CPVC, GRAINGER 22ZJ3</t>
  </si>
  <si>
    <t>BLOCK, GROUND DISTRIBUTION, 24 PIN, 99-0780, TROMBETTA</t>
  </si>
  <si>
    <t>GASKET, EPTFE ASU003, CUSTOM</t>
  </si>
  <si>
    <t>GASKET, EPTFE DT-04, CUSTOM</t>
  </si>
  <si>
    <t>CONNECTOR, AHDP04-18-06PN-WTA, AMPHENOL</t>
  </si>
  <si>
    <t>CONNECTOR, AHDP06-18-06SN-WTA, AMPHENOL</t>
  </si>
  <si>
    <t>BLOCK, HVAC DISTRIBUTION, STEP DOWN, EATON, 16370-3</t>
  </si>
  <si>
    <t>CONNECTOR, SURLOK EMI, 10MM, RIGHT ANGLE, 10-738728</t>
  </si>
  <si>
    <t>RECPTACLE, SURLOK EMI, 10MM, STRAIGHT, 10-738726</t>
  </si>
  <si>
    <t>06E</t>
  </si>
  <si>
    <t>NDA-legal</t>
  </si>
  <si>
    <t>ASSY, BUS BARS, MCU, BATT-SIDE, BRILL DESIGN</t>
  </si>
  <si>
    <t>HELICOIL, M4 INNER THREAD, M6 OUTER THREAD, MCMASTER 91732A656</t>
  </si>
  <si>
    <t>FAN, 18CFM, 12V, CFM-6010B-150-326-22</t>
  </si>
  <si>
    <t>Odometer - Alpha / subAlpha</t>
  </si>
  <si>
    <t>Starlord - Railgun High Energy</t>
  </si>
  <si>
    <t>Blanka - 3MW Drill Backup // EOG</t>
  </si>
  <si>
    <t>BL01</t>
  </si>
  <si>
    <t>Wilderness - Joes, CO - Greg Program</t>
  </si>
  <si>
    <t>Red Dawn - Broadview, CO - Greg Program</t>
  </si>
  <si>
    <t>Cloud Atlas - North Dakota Data Center - Greg Program</t>
  </si>
  <si>
    <t>PEM STUD SS, M6 X 12 MM, MCMASTER 93580A723</t>
  </si>
  <si>
    <t>BB01-7687773</t>
  </si>
  <si>
    <t>BB01-7687773, PEM STUD SS, M6 X 12 MM, MCMASTER 93580A723</t>
  </si>
  <si>
    <t>Fastener</t>
  </si>
  <si>
    <t>TERMINAL PLUG 16 POSITION, MFG PN 1803714</t>
  </si>
  <si>
    <t>BB01-8669437</t>
  </si>
  <si>
    <t>BB01-8669437, TERMINAL PLUG 16 POSITION, MFG PN 1803714</t>
  </si>
  <si>
    <t>Connector</t>
  </si>
  <si>
    <t>TERMINAL PLUG 2 POSITION, MFG PN 1900772</t>
  </si>
  <si>
    <t>BB01-2719380</t>
  </si>
  <si>
    <t>BB01-2719380, TERMINAL PLUG 2 POSITION, MFG PN 1900772</t>
  </si>
  <si>
    <t>TERMINAL PLUG 4 POSITION, MFG PN 1803594</t>
  </si>
  <si>
    <t>BB01-4986653</t>
  </si>
  <si>
    <t>BB01-4986653, TERMINAL PLUG 4 POSITION, MFG PN 1803594</t>
  </si>
  <si>
    <t>RECEPTACLE, 3 RECT CONNECTORS, MFG PN XHP-3</t>
  </si>
  <si>
    <t>BB01-9149735</t>
  </si>
  <si>
    <t>BB01-9149735, RECEPTACLE, 3 RECT CONNECTORS, MFG PN XHP-3</t>
  </si>
  <si>
    <t>RECEPTACLE, 4 RECT CONNECTORS, MFG PN XHP-4</t>
  </si>
  <si>
    <t>BB01-3119173</t>
  </si>
  <si>
    <t>BB01-3119173, RECEPTACLE, 4 RECT CONNECTORS, MFG PN XHP-4</t>
  </si>
  <si>
    <t>RECEPTACLE, 4 RECT CONNECTORS, MFG PN 0470541000</t>
  </si>
  <si>
    <t>BB01-2182504</t>
  </si>
  <si>
    <t>BB01-2182504, RECEPTACLE, 4 RECT CONNECTORS, MFG PN 0470541000</t>
  </si>
  <si>
    <t>TERMINAL PLUG 4 POSITION, MFG PN 1779851</t>
  </si>
  <si>
    <t>BB01-8259065</t>
  </si>
  <si>
    <t>BB01-8259065, TERMINAL PLUG 4 POSITION, MFG PN 1779851</t>
  </si>
  <si>
    <t>WELDED ASM, INNER DOOR, ALU - THK 3.2MM</t>
  </si>
  <si>
    <t>BB01-6044648</t>
  </si>
  <si>
    <t>BB01-6044648, WELDED ASM, INNER DOOR, ALU - THK 3.2MM</t>
  </si>
  <si>
    <t>CAMLOCK SIDE FORMED, ALU - THK 3.2MM</t>
  </si>
  <si>
    <t>BB01-8065910</t>
  </si>
  <si>
    <t>BB01-8065910, CAMLOCK SIDE FORMED, ALU - THK 3.2MM</t>
  </si>
  <si>
    <t>CONTACTOR, HV, ALEV100-CAN, ALTRA</t>
  </si>
  <si>
    <t>BB01-6920565</t>
  </si>
  <si>
    <t>BB01-6920565, CONTACTOR, HV, ALEV100-CAN, ALTRA</t>
  </si>
  <si>
    <t>ZINC PLATE STEEL, M6 X 1MM, LOCKNUT MCMASTER 94645A205</t>
  </si>
  <si>
    <t>BB01-6014529</t>
  </si>
  <si>
    <t>BB01-6014529, ZINC PLATE STEEL, M6 X 1MM, LOCKNUT MCMASTER 94645A205</t>
  </si>
  <si>
    <t>TSLOT END FEED DOUBLE NUT, M5 X 8MM, ZINC PLATE STEEL MCMASTER 5537T464</t>
  </si>
  <si>
    <t>BB01-2323057</t>
  </si>
  <si>
    <t>BB01-2323057, TSLOT END FEED DOUBLE NUT, M5 X 8MM, ZINC PLATE STEEL MCMASTER 5537T464</t>
  </si>
  <si>
    <t>TSLOT END FEED SINGLE NUT, M5 X 8MM, ZINC PLATE STEEL MCMASTER 5537T161</t>
  </si>
  <si>
    <t>BB01-8567844</t>
  </si>
  <si>
    <t>BB01-8567844, TSLOT END FEED SINGLE NUT, M5 X 8MM, ZINC PLATE STEEL MCMASTER 5537T161</t>
  </si>
  <si>
    <t>CORNER GUSSET, TSLOT, 51/64" MCMASTER 5537T498</t>
  </si>
  <si>
    <t>BB01-1499371</t>
  </si>
  <si>
    <t>BB01-1499371, CORNER GUSSET, TSLOT, 51/64" MCMASTER 5537T498</t>
  </si>
  <si>
    <t>FLAT HEAD, M5 X 3MM LONG, ZINC PLATE STEEL, MCMASTER 91263A831</t>
  </si>
  <si>
    <t>BB01-8147915</t>
  </si>
  <si>
    <t>BB01-8147915, FLAT HEAD, M5 X 3MM LONG, ZINC PLATE STEEL, MCMASTER 91263A831</t>
  </si>
  <si>
    <t>TSLOT END FEED, SINGLE M5 NUT, MCMASTER 4976N25</t>
  </si>
  <si>
    <t>BB01-8109469</t>
  </si>
  <si>
    <t>BB01-8109469, TSLOT END FEED, SINGLE M5 NUT, MCMASTER 4976N25</t>
  </si>
  <si>
    <t>MODULE PLATE, ALU - THK 3.2MM</t>
  </si>
  <si>
    <t>BB01-2616598</t>
  </si>
  <si>
    <t>BB01-2616598, MODULE PLATE, ALU - THK 3.2MM</t>
  </si>
  <si>
    <t>MACHINED SS, CUSTOM LOCATING PIN, M6 THREAD</t>
  </si>
  <si>
    <t>BB01-9184251</t>
  </si>
  <si>
    <t>BB01-9184251, MACHINED SS, CUSTOM LOCATING PIN, M6 THREAD</t>
  </si>
  <si>
    <t>OUTER DOOR CORNER, FORMED, ALU - THK 3.2MM</t>
  </si>
  <si>
    <t>BB01-7841767</t>
  </si>
  <si>
    <t>BB01-7841767, OUTER DOOR CORNER, FORMED, ALU - THK 3.2MM</t>
  </si>
  <si>
    <t>CAMLOCK SIDE FLATE, ALU - THK 3.2MM</t>
  </si>
  <si>
    <t>BB01-5716897</t>
  </si>
  <si>
    <t>BB01-5716897, CAMLOCK SIDE FLATE, ALU - THK 3.2MM</t>
  </si>
  <si>
    <t>CAMLOCK INTERFACE WELDMENT, ALU - THK 3.2MM</t>
  </si>
  <si>
    <t>BB01-2286979</t>
  </si>
  <si>
    <t>BB01-2286979, CAMLOCK INTERFACE WELDMENT, ALU - THK 3.2MM</t>
  </si>
  <si>
    <t>USER INTERFACE FORMED, ALU - THK 3.2MM</t>
  </si>
  <si>
    <t>BB01-3731595</t>
  </si>
  <si>
    <t>BB01-3731595, USER INTERFACE FORMED, ALU - THK 3.2MM</t>
  </si>
  <si>
    <t>USER INTERFACE TOP FORMED, ALU - THK 3.2MM</t>
  </si>
  <si>
    <t>BB01-9921130</t>
  </si>
  <si>
    <t>BB01-9921130, USER INTERFACE TOP FORMED, ALU - THK 3.2MM</t>
  </si>
  <si>
    <t>USER INTERFACE BOTTOM FORMED, ALU - THK 3.2MM</t>
  </si>
  <si>
    <t>BB01-6271425</t>
  </si>
  <si>
    <t>BB01-6271425, USER INTERFACE BOTTOM FORMED, ALU - THK 3.2MM</t>
  </si>
  <si>
    <t>USER INTERFACE ASM</t>
  </si>
  <si>
    <t>BB01-9674033</t>
  </si>
  <si>
    <t>BB01-9674033, USER INTERFACE ASM</t>
  </si>
  <si>
    <t>USER INTERFACE HINGE FLAT, ALU - 3.2MM</t>
  </si>
  <si>
    <t>BB01-2601430</t>
  </si>
  <si>
    <t>BB01-2601430, USER INTERFACE HINGE FLAT, ALU - 3.2MM</t>
  </si>
  <si>
    <t>INNER DOOR FASTNER ASM</t>
  </si>
  <si>
    <t>BB01-4410580</t>
  </si>
  <si>
    <t>BB01-4410580, INNER DOOR FASTNER ASM</t>
  </si>
  <si>
    <t>HINGE RIGHT, M4, LIFT OFF, MCMASTER 11955A66</t>
  </si>
  <si>
    <t>BB01-1663544</t>
  </si>
  <si>
    <t>BB01-1663544, HINGE RIGHT, M4, LIFT OFF, MCMASTER 11955A66</t>
  </si>
  <si>
    <t>TORX HEAD, ZINC-PLTD STEEL 6-32, MCMASTER 94209A085</t>
  </si>
  <si>
    <t>BB01-1685037</t>
  </si>
  <si>
    <t>BB01-1685037, TORX HEAD, ZINC-PLTD STEEL 6-32, MCMASTER 94209A085</t>
  </si>
  <si>
    <t>CONNECTOR, CAMLOCK, 400A, YELLOW</t>
  </si>
  <si>
    <t>BB01-3505076</t>
  </si>
  <si>
    <t>BB01-3505076, CONNECTOR, CAMLOCK, 400A, YELLOW</t>
  </si>
  <si>
    <t>CONNECTOR, CAMLOCK, 400A, BROWN</t>
  </si>
  <si>
    <t>BB01-5092437</t>
  </si>
  <si>
    <t>BB01-5092437, CONNECTOR, CAMLOCK, 400A, BROWN</t>
  </si>
  <si>
    <t>WEBBING GUIDE, NYLON, MCMASTER 8030T21</t>
  </si>
  <si>
    <t>BB01-7594484</t>
  </si>
  <si>
    <t>BB01-7594484, WEBBING GUIDE, NYLON, MCMASTER 8030T21</t>
  </si>
  <si>
    <t>ZINC PLATE STEEL LOCKNUT, M4 X 0.7 MM, MCMASTER 90576A103</t>
  </si>
  <si>
    <t>BB01-2542406</t>
  </si>
  <si>
    <t>BB01-2542406, ZINC PLATE STEEL LOCKNUT, M4 X 0.7 MM, MCMASTER 90576A103</t>
  </si>
  <si>
    <t>ZINC PLATE STEEL LOCKNUT, M6 X 0.1 MM, MCMASTER 90453A114</t>
  </si>
  <si>
    <t>BB01-4017390</t>
  </si>
  <si>
    <t>BB01-4017390, ZINC PLATE STEEL LOCKNUT, M6 X 0.1 MM, MCMASTER 90453A114</t>
  </si>
  <si>
    <t>90 DEG WIRE PASSTHRU, M16, MCMASTER 7008K28</t>
  </si>
  <si>
    <t>BB01-3090712</t>
  </si>
  <si>
    <t>BB01-3090712, 90 DEG WIRE PASSTHRU, M16, MCMASTER 7008K28</t>
  </si>
  <si>
    <t>TIGHT HOLD LATCH, SS, MCMASTER 1794A55</t>
  </si>
  <si>
    <t>BB01-1041728</t>
  </si>
  <si>
    <t>BB01-1041728, TIGHT HOLD LATCH, SS, MCMASTER 1794A55</t>
  </si>
  <si>
    <t xml:space="preserve">CAMLOCK INTERFACE SUPPORT, ALU - 3.2MM </t>
  </si>
  <si>
    <t>BB01-9580539</t>
  </si>
  <si>
    <t xml:space="preserve">BB01-9580539, CAMLOCK INTERFACE SUPPORT, ALU - 3.2MM </t>
  </si>
  <si>
    <t>PEM STUD ZINC PLTD STEEL, M6 X 25MM, MCMASTER 93580A616</t>
  </si>
  <si>
    <t>BB01-8380895</t>
  </si>
  <si>
    <t>BB01-8380895, PEM STUD ZINC PLTD STEEL, M6 X 25MM, MCMASTER 93580A616</t>
  </si>
  <si>
    <t>PEM STUD ZINC PLTD STEEL, M4 X 12MM, MCMASTER 93580A593</t>
  </si>
  <si>
    <t>BB01-9854701</t>
  </si>
  <si>
    <t>BB01-9854701, PEM STUD ZINC PLTD STEEL, M4 X 12MM, MCMASTER 93580A593</t>
  </si>
  <si>
    <t>ZINC PLATED STEEL LOCKNUT, M3 X 0.5MM, MCMASTER 90453A111</t>
  </si>
  <si>
    <t>BB01-2228920</t>
  </si>
  <si>
    <t>BB01-2228920, ZINC PLATED STEEL LOCKNUT, M3 X 0.5MM, MCMASTER 90453A111</t>
  </si>
  <si>
    <t>TORX HEAD, ZINC-PLTD STEEL M3 X 0.5MM, MCMASTER 92832A217</t>
  </si>
  <si>
    <t>BB01-2220967</t>
  </si>
  <si>
    <t>BB01-2220967, TORX HEAD, ZINC-PLTD STEEL M3 X 0.5MM, MCMASTER 92832A217</t>
  </si>
  <si>
    <t>ZINC PLATED STEEL LOCKNUT SERRATED, M6 X 1MM, MCMASTER 96194A101</t>
  </si>
  <si>
    <t>BB01-7879320</t>
  </si>
  <si>
    <t>BB01-7879320, ZINC PLATED STEEL LOCKNUT SERRATED, M6 X 1MM, MCMASTER 96194A101</t>
  </si>
  <si>
    <t>BRIGHTLOOP MOUNT PLATE, ALU - 2.5MM</t>
  </si>
  <si>
    <t>BB01-4004586</t>
  </si>
  <si>
    <t>BB01-4004586, BRIGHTLOOP MOUNT PLATE, ALU - 2.5MM</t>
  </si>
  <si>
    <t>SS PRESS FIT INSERT, M4 X 0.7MM, MCMASTER 92394A103</t>
  </si>
  <si>
    <t>BB01-1755930</t>
  </si>
  <si>
    <t>BB01-1755930, SS PRESS FIT INSERT, M4 X 0.7MM, MCMASTER 92394A103</t>
  </si>
  <si>
    <t>SS PHILLIPS HD SCREW, M4 X 8MM, MCMASTER 92000A218</t>
  </si>
  <si>
    <t>BB01-6665873</t>
  </si>
  <si>
    <t>BB01-6665873, SS PHILLIPS HD SCREW, M4 X 8MM, MCMASTER 92000A218</t>
  </si>
  <si>
    <t>ZINC PLATED PIANO HINGE, M6, 1FT LONG MCMASTER 1608A13</t>
  </si>
  <si>
    <t>BB01-5667783</t>
  </si>
  <si>
    <t>BB01-5667783, ZINC PLATED PIANO HINGE, M6, 1FT LONG MCMASTER 1608A13</t>
  </si>
  <si>
    <t>ZINC PLATED BUTTON HD, M6 X 10MM, MCMASTER 91306A764</t>
  </si>
  <si>
    <t>BB01-8287726</t>
  </si>
  <si>
    <t>BB01-8287726, ZINC PLATED BUTTON HD, M6 X 10MM, MCMASTER 91306A764</t>
  </si>
  <si>
    <t>FORMED MOUNTING CHANNEL, ALU - 3.2MM</t>
  </si>
  <si>
    <t>BB01-7033570</t>
  </si>
  <si>
    <t>BB01-7033570, FORMED MOUNTING CHANNEL, ALU - 3.2MM</t>
  </si>
  <si>
    <t>BB01-2386021</t>
  </si>
  <si>
    <t>INNER DOOR HINGE SUPPORT BRACKET, ALU - 3.2MM</t>
  </si>
  <si>
    <t>OUTER DOOR HINGE SUPPORT BRACKET, ALU - 3.2MM</t>
  </si>
  <si>
    <t>OUTER DOOR WELDED SUPPORT BRACKET, ALU - 4.6MM</t>
  </si>
  <si>
    <t>PEM STUD ZINC PLTD STEEL, M5 X 10MM, MCMASTER 93580A602</t>
  </si>
  <si>
    <t>ZINC PLTD STEEL LOCKNUT, M5 X 0.8MM, MCMASTER 90453A113</t>
  </si>
  <si>
    <t>SS MOUNT BALL RECESSED, MCMASTER 5398N18</t>
  </si>
  <si>
    <t>NUT, M4 X 0.7MM, COARSE, MCMASTER 91854A101</t>
  </si>
  <si>
    <t>MOUNTING PLATE, SCU, ASM</t>
  </si>
  <si>
    <t>BB01-7319096</t>
  </si>
  <si>
    <t>PB01</t>
  </si>
  <si>
    <t>Buffy - Pretty BOB,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</si>
</sst>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onsolas"/>
      <family val="3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b/>
      <sz val="11"/>
      <color theme="1"/>
      <name val="Consolas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64" fontId="1" fillId="0" borderId="0" xfId="0" applyNumberFormat="1" applyFont="1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center"/>
    </xf>
    <xf numFmtId="1" fontId="2" fillId="0" borderId="0" xfId="0" applyNumberFormat="1" applyFont="1"/>
    <xf numFmtId="0" fontId="1" fillId="0" borderId="0" xfId="0" applyFont="1" applyAlignment="1">
      <alignment horizontal="center"/>
    </xf>
    <xf numFmtId="1" fontId="1" fillId="0" borderId="0" xfId="0" applyNumberFormat="1" applyFont="1"/>
    <xf numFmtId="22" fontId="2" fillId="0" borderId="0" xfId="0" applyNumberFormat="1" applyFont="1"/>
    <xf numFmtId="14" fontId="2" fillId="0" borderId="0" xfId="0" applyNumberFormat="1" applyFont="1"/>
    <xf numFmtId="1" fontId="1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0" fontId="3" fillId="0" borderId="0" xfId="0" applyFont="1"/>
    <xf numFmtId="0" fontId="2" fillId="0" borderId="0" xfId="0" quotePrefix="1" applyFont="1"/>
    <xf numFmtId="22" fontId="1" fillId="0" borderId="0" xfId="0" applyNumberFormat="1" applyFont="1"/>
    <xf numFmtId="0" fontId="4" fillId="0" borderId="0" xfId="0" applyFont="1"/>
    <xf numFmtId="0" fontId="0" fillId="0" borderId="0" xfId="0" applyAlignment="1">
      <alignment vertical="center"/>
    </xf>
    <xf numFmtId="22" fontId="2" fillId="2" borderId="0" xfId="0" applyNumberFormat="1" applyFont="1" applyFill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1" fillId="2" borderId="0" xfId="0" applyFont="1" applyFill="1"/>
    <xf numFmtId="0" fontId="7" fillId="0" borderId="0" xfId="0" applyFont="1"/>
    <xf numFmtId="22" fontId="7" fillId="0" borderId="0" xfId="0" applyNumberFormat="1" applyFont="1"/>
    <xf numFmtId="0" fontId="7" fillId="0" borderId="0" xfId="0" applyFont="1" applyAlignment="1">
      <alignment horizontal="center"/>
    </xf>
    <xf numFmtId="0" fontId="7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0</xdr:rowOff>
        </xdr:from>
        <xdr:to>
          <xdr:col>2</xdr:col>
          <xdr:colOff>695325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Program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0</xdr:row>
          <xdr:rowOff>38100</xdr:rowOff>
        </xdr:from>
        <xdr:to>
          <xdr:col>6</xdr:col>
          <xdr:colOff>4800600</xdr:colOff>
          <xdr:row>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Part Number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A901B-B170-4009-84C6-5D48AA291300}">
  <sheetPr codeName="Sheet4"/>
  <dimension ref="A1:K25"/>
  <sheetViews>
    <sheetView workbookViewId="0">
      <selection activeCell="E26" sqref="E26"/>
    </sheetView>
  </sheetViews>
  <sheetFormatPr defaultColWidth="9.140625" defaultRowHeight="15" x14ac:dyDescent="0.25"/>
  <cols>
    <col min="1" max="1" width="19.5703125" style="9" bestFit="1" customWidth="1"/>
    <col min="2" max="2" width="14.85546875" style="5" bestFit="1" customWidth="1"/>
    <col min="3" max="3" width="17.28515625" style="3" bestFit="1" customWidth="1"/>
    <col min="4" max="4" width="63.5703125" style="3" bestFit="1" customWidth="1"/>
    <col min="5" max="5" width="10.140625" style="3" bestFit="1" customWidth="1"/>
    <col min="6" max="6" width="23.140625" style="3" bestFit="1" customWidth="1"/>
    <col min="7" max="9" width="9.140625" style="3"/>
    <col min="10" max="10" width="10.140625" style="3" bestFit="1" customWidth="1"/>
    <col min="11" max="16384" width="9.140625" style="3"/>
  </cols>
  <sheetData>
    <row r="1" spans="1:11" x14ac:dyDescent="0.25">
      <c r="D1" s="6"/>
      <c r="J1" s="17" t="s">
        <v>0</v>
      </c>
      <c r="K1" s="17" t="s">
        <v>1</v>
      </c>
    </row>
    <row r="2" spans="1:11" x14ac:dyDescent="0.25">
      <c r="A2" s="16" t="s">
        <v>2</v>
      </c>
      <c r="B2" s="5" t="s">
        <v>3</v>
      </c>
      <c r="C2" s="2" t="s">
        <v>4</v>
      </c>
      <c r="D2" s="8" t="s">
        <v>5</v>
      </c>
      <c r="E2" s="8" t="s">
        <v>0</v>
      </c>
      <c r="F2" s="8" t="s">
        <v>6</v>
      </c>
      <c r="J2" s="3" t="s">
        <v>7</v>
      </c>
      <c r="K2" s="5">
        <v>1</v>
      </c>
    </row>
    <row r="3" spans="1:11" x14ac:dyDescent="0.25">
      <c r="A3" s="9">
        <v>45561.471064814818</v>
      </c>
      <c r="B3" s="5" t="s">
        <v>8</v>
      </c>
      <c r="C3" s="3" t="s">
        <v>9</v>
      </c>
      <c r="D3" s="6" t="s">
        <v>10</v>
      </c>
      <c r="E3" s="3" t="s">
        <v>11</v>
      </c>
      <c r="F3" s="10"/>
      <c r="J3" s="3" t="s">
        <v>12</v>
      </c>
      <c r="K3" s="5">
        <v>2</v>
      </c>
    </row>
    <row r="4" spans="1:11" x14ac:dyDescent="0.25">
      <c r="A4" s="9">
        <v>45561.47246527778</v>
      </c>
      <c r="B4" s="5">
        <v>444</v>
      </c>
      <c r="C4" s="3" t="s">
        <v>13</v>
      </c>
      <c r="D4" s="3" t="s">
        <v>14</v>
      </c>
      <c r="E4" s="3" t="s">
        <v>11</v>
      </c>
      <c r="F4" s="10"/>
      <c r="J4" s="3" t="s">
        <v>11</v>
      </c>
      <c r="K4" s="5">
        <v>3</v>
      </c>
    </row>
    <row r="5" spans="1:11" x14ac:dyDescent="0.25">
      <c r="A5" s="9">
        <v>45561.474606481483</v>
      </c>
      <c r="B5" s="5">
        <v>632</v>
      </c>
      <c r="C5" s="3" t="s">
        <v>15</v>
      </c>
      <c r="D5" s="3" t="s">
        <v>16</v>
      </c>
      <c r="E5" s="3" t="s">
        <v>11</v>
      </c>
      <c r="F5" s="10"/>
      <c r="J5" s="3" t="s">
        <v>17</v>
      </c>
      <c r="K5" s="5" t="s">
        <v>18</v>
      </c>
    </row>
    <row r="6" spans="1:11" x14ac:dyDescent="0.25">
      <c r="A6" s="9">
        <v>45566.485925925925</v>
      </c>
      <c r="B6" s="5" t="s">
        <v>19</v>
      </c>
      <c r="C6" s="3" t="s">
        <v>13</v>
      </c>
      <c r="D6" s="3" t="s">
        <v>20</v>
      </c>
      <c r="E6" s="3" t="s">
        <v>7</v>
      </c>
      <c r="F6" s="10"/>
      <c r="J6" s="3" t="s">
        <v>21</v>
      </c>
      <c r="K6" s="5" t="s">
        <v>22</v>
      </c>
    </row>
    <row r="7" spans="1:11" x14ac:dyDescent="0.25">
      <c r="A7" s="9">
        <v>45566.604791666665</v>
      </c>
      <c r="B7" s="5" t="s">
        <v>23</v>
      </c>
      <c r="C7" s="3" t="s">
        <v>13</v>
      </c>
      <c r="D7" s="3" t="s">
        <v>24</v>
      </c>
      <c r="E7" s="3" t="s">
        <v>7</v>
      </c>
    </row>
    <row r="8" spans="1:11" x14ac:dyDescent="0.25">
      <c r="A8" s="9">
        <v>45566.604803240742</v>
      </c>
      <c r="B8" s="5">
        <v>251</v>
      </c>
      <c r="C8" s="3" t="s">
        <v>13</v>
      </c>
      <c r="D8" s="3" t="s">
        <v>25</v>
      </c>
      <c r="E8" s="3" t="s">
        <v>7</v>
      </c>
    </row>
    <row r="9" spans="1:11" x14ac:dyDescent="0.25">
      <c r="A9" s="9">
        <v>45566.606157407405</v>
      </c>
      <c r="B9" s="5" t="s">
        <v>26</v>
      </c>
      <c r="C9" s="3" t="s">
        <v>9</v>
      </c>
      <c r="D9" s="3" t="s">
        <v>27</v>
      </c>
      <c r="E9" s="3" t="s">
        <v>7</v>
      </c>
    </row>
    <row r="10" spans="1:11" x14ac:dyDescent="0.25">
      <c r="A10" s="9">
        <v>45566.606168981481</v>
      </c>
      <c r="B10" s="5" t="s">
        <v>28</v>
      </c>
      <c r="C10" s="3" t="s">
        <v>9</v>
      </c>
      <c r="D10" s="3" t="s">
        <v>29</v>
      </c>
      <c r="E10" s="3" t="s">
        <v>7</v>
      </c>
    </row>
    <row r="11" spans="1:11" x14ac:dyDescent="0.25">
      <c r="A11" s="9">
        <v>45566.606863425928</v>
      </c>
      <c r="B11" s="5">
        <v>616</v>
      </c>
      <c r="C11" s="3" t="s">
        <v>9</v>
      </c>
      <c r="D11" s="3" t="s">
        <v>30</v>
      </c>
      <c r="E11" s="3" t="s">
        <v>7</v>
      </c>
    </row>
    <row r="12" spans="1:11" x14ac:dyDescent="0.25">
      <c r="A12" s="9">
        <v>45566.610601851855</v>
      </c>
      <c r="B12" s="5">
        <v>684</v>
      </c>
      <c r="C12" s="3" t="s">
        <v>15</v>
      </c>
      <c r="D12" s="3" t="s">
        <v>31</v>
      </c>
      <c r="E12" s="3" t="s">
        <v>12</v>
      </c>
    </row>
    <row r="13" spans="1:11" x14ac:dyDescent="0.25">
      <c r="A13" s="9">
        <v>45332.905891203707</v>
      </c>
      <c r="B13" s="5" t="s">
        <v>32</v>
      </c>
      <c r="C13" s="3" t="s">
        <v>9</v>
      </c>
      <c r="D13" s="3" t="s">
        <v>33</v>
      </c>
      <c r="E13" s="3" t="s">
        <v>11</v>
      </c>
    </row>
    <row r="14" spans="1:11" x14ac:dyDescent="0.25">
      <c r="A14" s="9">
        <v>45567.783935185187</v>
      </c>
      <c r="B14" s="5" t="s">
        <v>34</v>
      </c>
      <c r="C14" s="3" t="s">
        <v>9</v>
      </c>
      <c r="D14" s="3" t="s">
        <v>35</v>
      </c>
      <c r="E14" s="3" t="s">
        <v>11</v>
      </c>
    </row>
    <row r="15" spans="1:11" x14ac:dyDescent="0.25">
      <c r="A15" s="9">
        <v>45567.813391203701</v>
      </c>
      <c r="B15" s="5">
        <v>653</v>
      </c>
      <c r="C15" s="3" t="s">
        <v>13</v>
      </c>
      <c r="D15" s="3" t="s">
        <v>36</v>
      </c>
      <c r="E15" s="3" t="s">
        <v>21</v>
      </c>
    </row>
    <row r="16" spans="1:11" x14ac:dyDescent="0.25">
      <c r="A16" s="9">
        <v>45361.969178240739</v>
      </c>
      <c r="B16" s="5">
        <v>350</v>
      </c>
      <c r="C16" s="3" t="s">
        <v>9</v>
      </c>
      <c r="D16" s="3" t="s">
        <v>37</v>
      </c>
      <c r="E16" s="3" t="s">
        <v>7</v>
      </c>
      <c r="F16" s="10"/>
    </row>
    <row r="17" spans="1:5" x14ac:dyDescent="0.25">
      <c r="A17" s="9">
        <v>45571.439756944441</v>
      </c>
      <c r="B17" s="5" t="s">
        <v>38</v>
      </c>
      <c r="C17" s="3" t="s">
        <v>9</v>
      </c>
      <c r="D17" s="3" t="s">
        <v>39</v>
      </c>
      <c r="E17" s="3" t="s">
        <v>11</v>
      </c>
    </row>
    <row r="18" spans="1:5" x14ac:dyDescent="0.25">
      <c r="A18" s="9">
        <v>45571.449444444443</v>
      </c>
      <c r="B18" s="5" t="s">
        <v>40</v>
      </c>
      <c r="C18" s="3" t="s">
        <v>9</v>
      </c>
      <c r="D18" s="3" t="s">
        <v>41</v>
      </c>
      <c r="E18" s="3" t="s">
        <v>17</v>
      </c>
    </row>
    <row r="19" spans="1:5" x14ac:dyDescent="0.25">
      <c r="A19" s="9">
        <v>45576.6246875</v>
      </c>
      <c r="B19" s="5">
        <v>798</v>
      </c>
      <c r="C19" s="3" t="s">
        <v>9</v>
      </c>
      <c r="D19" s="18" t="s">
        <v>42</v>
      </c>
      <c r="E19" s="3" t="s">
        <v>11</v>
      </c>
    </row>
    <row r="20" spans="1:5" x14ac:dyDescent="0.25">
      <c r="A20" s="9">
        <v>45576.624548611115</v>
      </c>
      <c r="B20" s="5" t="s">
        <v>43</v>
      </c>
      <c r="C20" s="3" t="s">
        <v>9</v>
      </c>
      <c r="D20" s="18" t="s">
        <v>44</v>
      </c>
      <c r="E20" s="3" t="s">
        <v>11</v>
      </c>
    </row>
    <row r="21" spans="1:5" x14ac:dyDescent="0.25">
      <c r="A21" s="9">
        <v>45596.568530092591</v>
      </c>
      <c r="B21" s="5" t="s">
        <v>45</v>
      </c>
      <c r="C21" s="3" t="s">
        <v>9</v>
      </c>
      <c r="D21" s="3" t="s">
        <v>652</v>
      </c>
      <c r="E21" s="3" t="s">
        <v>7</v>
      </c>
    </row>
    <row r="22" spans="1:5" x14ac:dyDescent="0.25">
      <c r="A22" s="9">
        <v>45596.572638888887</v>
      </c>
      <c r="B22" s="5" t="s">
        <v>46</v>
      </c>
      <c r="C22" s="3" t="s">
        <v>9</v>
      </c>
      <c r="D22" s="3" t="s">
        <v>651</v>
      </c>
      <c r="E22" s="3" t="s">
        <v>7</v>
      </c>
    </row>
    <row r="23" spans="1:5" x14ac:dyDescent="0.25">
      <c r="A23" s="9">
        <v>45611.694710648146</v>
      </c>
      <c r="B23" s="5">
        <v>433</v>
      </c>
      <c r="C23" s="3" t="s">
        <v>13</v>
      </c>
      <c r="D23" s="3" t="s">
        <v>607</v>
      </c>
      <c r="E23" s="3" t="s">
        <v>11</v>
      </c>
    </row>
    <row r="24" spans="1:5" x14ac:dyDescent="0.25">
      <c r="A24" s="9">
        <v>45622.64707175926</v>
      </c>
      <c r="B24" s="5" t="s">
        <v>642</v>
      </c>
      <c r="C24" s="3" t="s">
        <v>15</v>
      </c>
      <c r="D24" s="3" t="s">
        <v>643</v>
      </c>
      <c r="E24" s="3" t="s">
        <v>11</v>
      </c>
    </row>
    <row r="25" spans="1:5" x14ac:dyDescent="0.25">
      <c r="A25" s="9">
        <v>45640.501168981478</v>
      </c>
      <c r="B25" s="5">
        <v>623</v>
      </c>
      <c r="C25" s="3" t="s">
        <v>13</v>
      </c>
      <c r="D25" s="3" t="s">
        <v>653</v>
      </c>
      <c r="E25" s="3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UniqueProjectCode">
                <anchor moveWithCells="1" sizeWithCells="1">
                  <from>
                    <xdr:col>0</xdr:col>
                    <xdr:colOff>923925</xdr:colOff>
                    <xdr:row>0</xdr:row>
                    <xdr:rowOff>0</xdr:rowOff>
                  </from>
                  <to>
                    <xdr:col>2</xdr:col>
                    <xdr:colOff>695325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A1D72-0EFF-416D-A3BC-539CB92712BA}">
  <sheetPr codeName="Sheet2"/>
  <dimension ref="A1:F18"/>
  <sheetViews>
    <sheetView tabSelected="1" workbookViewId="0">
      <selection activeCell="D19" sqref="D19"/>
    </sheetView>
  </sheetViews>
  <sheetFormatPr defaultColWidth="9.140625" defaultRowHeight="15" x14ac:dyDescent="0.25"/>
  <cols>
    <col min="1" max="1" width="22.85546875" style="9" customWidth="1"/>
    <col min="2" max="2" width="19.85546875" style="3" bestFit="1" customWidth="1"/>
    <col min="3" max="3" width="17.28515625" style="3" bestFit="1" customWidth="1"/>
    <col min="4" max="4" width="47.42578125" style="3" customWidth="1"/>
    <col min="5" max="5" width="9.140625" style="3"/>
    <col min="6" max="6" width="18.7109375" style="3" bestFit="1" customWidth="1"/>
    <col min="7" max="16384" width="9.140625" style="3"/>
  </cols>
  <sheetData>
    <row r="1" spans="1:6" x14ac:dyDescent="0.25">
      <c r="D1" s="6"/>
    </row>
    <row r="2" spans="1:6" x14ac:dyDescent="0.25">
      <c r="A2" s="16" t="s">
        <v>2</v>
      </c>
      <c r="B2" s="2" t="s">
        <v>47</v>
      </c>
      <c r="C2" s="2" t="s">
        <v>48</v>
      </c>
      <c r="D2" s="8" t="s">
        <v>5</v>
      </c>
      <c r="E2" s="8" t="s">
        <v>0</v>
      </c>
      <c r="F2" s="8" t="s">
        <v>49</v>
      </c>
    </row>
    <row r="3" spans="1:6" x14ac:dyDescent="0.25">
      <c r="A3" s="9">
        <v>45541.35</v>
      </c>
      <c r="B3" s="3" t="s">
        <v>50</v>
      </c>
      <c r="C3" s="3" t="s">
        <v>51</v>
      </c>
      <c r="D3" s="6" t="s">
        <v>52</v>
      </c>
      <c r="E3" s="3" t="s">
        <v>11</v>
      </c>
      <c r="F3" s="10">
        <v>45541</v>
      </c>
    </row>
    <row r="4" spans="1:6" x14ac:dyDescent="0.25">
      <c r="A4" s="9">
        <v>45541.35</v>
      </c>
      <c r="B4" s="3" t="s">
        <v>53</v>
      </c>
      <c r="C4" s="3" t="s">
        <v>51</v>
      </c>
      <c r="D4" s="3" t="s">
        <v>54</v>
      </c>
      <c r="E4" s="3" t="s">
        <v>17</v>
      </c>
      <c r="F4" s="10">
        <v>45541</v>
      </c>
    </row>
    <row r="5" spans="1:6" x14ac:dyDescent="0.25">
      <c r="A5" s="9">
        <v>45541.529166666667</v>
      </c>
      <c r="B5" s="3" t="s">
        <v>55</v>
      </c>
      <c r="C5" s="3" t="s">
        <v>51</v>
      </c>
      <c r="D5" s="3" t="s">
        <v>56</v>
      </c>
      <c r="E5" s="3" t="s">
        <v>11</v>
      </c>
      <c r="F5" s="10">
        <v>45541</v>
      </c>
    </row>
    <row r="6" spans="1:6" x14ac:dyDescent="0.25">
      <c r="A6" s="9">
        <v>45549.666666666664</v>
      </c>
      <c r="B6" s="3" t="s">
        <v>57</v>
      </c>
      <c r="C6" s="3" t="s">
        <v>51</v>
      </c>
      <c r="D6" s="3" t="s">
        <v>58</v>
      </c>
      <c r="E6" s="3" t="s">
        <v>11</v>
      </c>
      <c r="F6" s="10">
        <v>45549</v>
      </c>
    </row>
    <row r="7" spans="1:6" x14ac:dyDescent="0.25">
      <c r="A7" s="9">
        <v>45549.75</v>
      </c>
      <c r="B7" s="3" t="s">
        <v>59</v>
      </c>
      <c r="C7" s="3" t="s">
        <v>51</v>
      </c>
      <c r="D7" s="3" t="s">
        <v>60</v>
      </c>
      <c r="E7" s="3" t="s">
        <v>11</v>
      </c>
      <c r="F7" s="10">
        <v>45566</v>
      </c>
    </row>
    <row r="8" spans="1:6" x14ac:dyDescent="0.25">
      <c r="A8" s="9">
        <v>45566.53125</v>
      </c>
      <c r="B8" s="3" t="s">
        <v>61</v>
      </c>
      <c r="C8" s="3" t="s">
        <v>62</v>
      </c>
      <c r="D8" s="3" t="s">
        <v>63</v>
      </c>
      <c r="E8" s="3" t="s">
        <v>11</v>
      </c>
      <c r="F8" s="10">
        <v>45566</v>
      </c>
    </row>
    <row r="9" spans="1:6" x14ac:dyDescent="0.25">
      <c r="A9" s="9">
        <v>45566.5625</v>
      </c>
      <c r="B9" s="3" t="s">
        <v>64</v>
      </c>
      <c r="C9" s="3" t="s">
        <v>51</v>
      </c>
      <c r="D9" s="3" t="s">
        <v>647</v>
      </c>
      <c r="E9" s="3" t="s">
        <v>11</v>
      </c>
      <c r="F9" s="10">
        <v>45566</v>
      </c>
    </row>
    <row r="10" spans="1:6" x14ac:dyDescent="0.25">
      <c r="A10" s="9">
        <v>45568.660416666666</v>
      </c>
      <c r="B10" s="3" t="s">
        <v>65</v>
      </c>
      <c r="C10" s="3" t="s">
        <v>51</v>
      </c>
      <c r="D10" s="3" t="s">
        <v>66</v>
      </c>
      <c r="E10" s="3" t="s">
        <v>11</v>
      </c>
      <c r="F10" s="10">
        <v>45566</v>
      </c>
    </row>
    <row r="11" spans="1:6" x14ac:dyDescent="0.25">
      <c r="A11" s="9">
        <v>45231</v>
      </c>
      <c r="B11" s="3" t="s">
        <v>67</v>
      </c>
      <c r="C11" s="3" t="s">
        <v>68</v>
      </c>
      <c r="D11" s="3" t="s">
        <v>69</v>
      </c>
      <c r="E11" s="3" t="s">
        <v>17</v>
      </c>
      <c r="F11" s="10">
        <v>45571</v>
      </c>
    </row>
    <row r="12" spans="1:6" x14ac:dyDescent="0.25">
      <c r="A12" s="9">
        <v>45444</v>
      </c>
      <c r="B12" s="3" t="s">
        <v>70</v>
      </c>
      <c r="C12" s="3" t="s">
        <v>51</v>
      </c>
      <c r="D12" s="3" t="s">
        <v>71</v>
      </c>
      <c r="E12" s="3" t="s">
        <v>17</v>
      </c>
      <c r="F12" s="10">
        <v>45571</v>
      </c>
    </row>
    <row r="13" spans="1:6" x14ac:dyDescent="0.25">
      <c r="A13" s="9">
        <v>45571</v>
      </c>
      <c r="B13" s="3" t="s">
        <v>72</v>
      </c>
      <c r="C13" s="3" t="s">
        <v>51</v>
      </c>
      <c r="D13" s="3" t="s">
        <v>73</v>
      </c>
      <c r="E13" s="3" t="s">
        <v>11</v>
      </c>
      <c r="F13" s="10">
        <v>45571</v>
      </c>
    </row>
    <row r="14" spans="1:6" x14ac:dyDescent="0.25">
      <c r="A14" s="9">
        <v>45475</v>
      </c>
      <c r="B14" s="3" t="s">
        <v>74</v>
      </c>
      <c r="C14" s="3" t="s">
        <v>51</v>
      </c>
      <c r="D14" s="3" t="s">
        <v>648</v>
      </c>
      <c r="E14" s="3" t="s">
        <v>17</v>
      </c>
      <c r="F14" s="10">
        <v>45476</v>
      </c>
    </row>
    <row r="15" spans="1:6" x14ac:dyDescent="0.25">
      <c r="A15" s="9">
        <v>45571</v>
      </c>
      <c r="B15" s="3" t="s">
        <v>75</v>
      </c>
      <c r="C15" s="3" t="s">
        <v>51</v>
      </c>
      <c r="D15" s="3" t="s">
        <v>76</v>
      </c>
      <c r="E15" s="3" t="s">
        <v>11</v>
      </c>
      <c r="F15" s="10">
        <v>45576</v>
      </c>
    </row>
    <row r="16" spans="1:6" x14ac:dyDescent="0.25">
      <c r="A16" s="9">
        <v>45571</v>
      </c>
      <c r="B16" s="3" t="s">
        <v>77</v>
      </c>
      <c r="C16" s="3" t="s">
        <v>51</v>
      </c>
      <c r="D16" s="3" t="s">
        <v>78</v>
      </c>
      <c r="E16" s="3" t="s">
        <v>11</v>
      </c>
      <c r="F16" s="10">
        <v>45576</v>
      </c>
    </row>
    <row r="17" spans="1:6" x14ac:dyDescent="0.25">
      <c r="A17" s="9">
        <v>45640.392361111109</v>
      </c>
      <c r="B17" s="3" t="s">
        <v>650</v>
      </c>
      <c r="C17" s="3" t="s">
        <v>51</v>
      </c>
      <c r="D17" s="3" t="s">
        <v>649</v>
      </c>
      <c r="E17" s="3" t="s">
        <v>11</v>
      </c>
      <c r="F17" s="10">
        <v>45640</v>
      </c>
    </row>
    <row r="18" spans="1:6" x14ac:dyDescent="0.25">
      <c r="A18" s="9">
        <v>45671.544444444444</v>
      </c>
      <c r="B18" s="3" t="s">
        <v>813</v>
      </c>
      <c r="C18" s="3" t="s">
        <v>51</v>
      </c>
      <c r="D18" s="3" t="s">
        <v>814</v>
      </c>
      <c r="E18" s="3" t="s">
        <v>11</v>
      </c>
      <c r="F18" s="10">
        <v>45671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EC1E0-A811-498C-9AA9-312FF5F41D9A}">
  <sheetPr codeName="Sheet1"/>
  <dimension ref="A2:K477"/>
  <sheetViews>
    <sheetView zoomScale="85" zoomScaleNormal="85" workbookViewId="0">
      <pane xSplit="1" ySplit="2" topLeftCell="B453" activePane="bottomRight" state="frozen"/>
      <selection pane="topRight" activeCell="B1" sqref="B1"/>
      <selection pane="bottomLeft" activeCell="A3" sqref="A3"/>
      <selection pane="bottomRight" activeCell="B479" sqref="B479"/>
    </sheetView>
  </sheetViews>
  <sheetFormatPr defaultColWidth="9.140625" defaultRowHeight="15" x14ac:dyDescent="0.25"/>
  <cols>
    <col min="1" max="1" width="20.85546875" style="3" bestFit="1" customWidth="1"/>
    <col min="2" max="2" width="72" style="3" bestFit="1" customWidth="1"/>
    <col min="3" max="3" width="19.28515625" style="3" customWidth="1"/>
    <col min="4" max="4" width="14.28515625" style="12" customWidth="1"/>
    <col min="5" max="5" width="11.7109375" style="5" bestFit="1" customWidth="1"/>
    <col min="6" max="6" width="17.28515625" style="3" customWidth="1"/>
    <col min="7" max="7" width="75" style="3" customWidth="1"/>
    <col min="8" max="8" width="24.85546875" style="3" customWidth="1"/>
    <col min="9" max="9" width="27.7109375" style="3" customWidth="1"/>
    <col min="10" max="10" width="25.28515625" style="3" customWidth="1"/>
    <col min="11" max="11" width="20.7109375" style="3" customWidth="1"/>
    <col min="12" max="16384" width="9.140625" style="3"/>
  </cols>
  <sheetData>
    <row r="2" spans="1:11" s="2" customFormat="1" x14ac:dyDescent="0.25">
      <c r="A2" s="2" t="s">
        <v>2</v>
      </c>
      <c r="B2" s="2" t="s">
        <v>79</v>
      </c>
      <c r="C2" s="2" t="s">
        <v>47</v>
      </c>
      <c r="D2" s="11" t="s">
        <v>80</v>
      </c>
      <c r="E2" s="7" t="s">
        <v>81</v>
      </c>
      <c r="F2" s="2" t="s">
        <v>82</v>
      </c>
      <c r="H2" s="2" t="s">
        <v>83</v>
      </c>
      <c r="I2" s="2" t="s">
        <v>84</v>
      </c>
      <c r="J2" s="2" t="s">
        <v>85</v>
      </c>
      <c r="K2" s="2" t="s">
        <v>6</v>
      </c>
    </row>
    <row r="3" spans="1:11" x14ac:dyDescent="0.25">
      <c r="A3" s="9">
        <v>0</v>
      </c>
      <c r="B3" s="3" t="s">
        <v>504</v>
      </c>
      <c r="C3" s="3" t="s">
        <v>87</v>
      </c>
      <c r="D3" s="12">
        <v>9997854225</v>
      </c>
      <c r="E3" s="13" t="s">
        <v>92</v>
      </c>
      <c r="F3" s="15" t="str">
        <f t="shared" ref="F3:F34" si="0">CONCATENATE(C3,D3,RIGHT(LEFT(E3,3),2))</f>
        <v>P999785422502</v>
      </c>
      <c r="G3" s="15"/>
      <c r="H3" s="3" t="s">
        <v>465</v>
      </c>
      <c r="I3" s="14" t="s">
        <v>503</v>
      </c>
      <c r="J3" s="14" t="s">
        <v>68</v>
      </c>
    </row>
    <row r="4" spans="1:11" x14ac:dyDescent="0.25">
      <c r="A4" s="9">
        <v>0</v>
      </c>
      <c r="B4" s="3" t="s">
        <v>502</v>
      </c>
      <c r="C4" s="3" t="s">
        <v>87</v>
      </c>
      <c r="D4" s="12">
        <v>9997854225</v>
      </c>
      <c r="E4" s="13" t="s">
        <v>88</v>
      </c>
      <c r="F4" s="15" t="str">
        <f t="shared" si="0"/>
        <v>P999785422501</v>
      </c>
      <c r="G4" s="15"/>
      <c r="H4" s="3" t="s">
        <v>465</v>
      </c>
      <c r="I4" s="14" t="s">
        <v>503</v>
      </c>
      <c r="J4" s="14" t="s">
        <v>68</v>
      </c>
    </row>
    <row r="5" spans="1:11" x14ac:dyDescent="0.25">
      <c r="A5" s="9">
        <v>0</v>
      </c>
      <c r="B5" s="3" t="s">
        <v>517</v>
      </c>
      <c r="C5" s="3" t="s">
        <v>87</v>
      </c>
      <c r="D5" s="12">
        <v>9997854225</v>
      </c>
      <c r="E5" s="13" t="s">
        <v>94</v>
      </c>
      <c r="F5" s="15" t="str">
        <f t="shared" si="0"/>
        <v>P999785422503</v>
      </c>
      <c r="G5" s="15"/>
      <c r="H5" s="3" t="s">
        <v>465</v>
      </c>
      <c r="I5" s="14" t="s">
        <v>503</v>
      </c>
      <c r="J5" s="14" t="s">
        <v>68</v>
      </c>
    </row>
    <row r="6" spans="1:11" x14ac:dyDescent="0.25">
      <c r="A6" s="9">
        <v>0</v>
      </c>
      <c r="B6" s="3" t="s">
        <v>208</v>
      </c>
      <c r="C6" s="3" t="s">
        <v>87</v>
      </c>
      <c r="D6" s="12">
        <v>9981596754</v>
      </c>
      <c r="E6" s="13" t="s">
        <v>88</v>
      </c>
      <c r="F6" s="15" t="str">
        <f t="shared" si="0"/>
        <v>P998159675401</v>
      </c>
      <c r="G6" s="15"/>
      <c r="H6" s="3" t="s">
        <v>89</v>
      </c>
      <c r="J6" s="14" t="s">
        <v>68</v>
      </c>
    </row>
    <row r="7" spans="1:11" x14ac:dyDescent="0.25">
      <c r="A7" s="9">
        <v>0</v>
      </c>
      <c r="B7" s="3" t="s">
        <v>120</v>
      </c>
      <c r="C7" s="3" t="s">
        <v>87</v>
      </c>
      <c r="D7" s="12">
        <v>9981345111</v>
      </c>
      <c r="E7" s="13" t="s">
        <v>88</v>
      </c>
      <c r="F7" s="15" t="str">
        <f t="shared" si="0"/>
        <v>P998134511101</v>
      </c>
      <c r="G7" s="15"/>
      <c r="H7" s="3" t="s">
        <v>89</v>
      </c>
      <c r="I7" s="14" t="s">
        <v>106</v>
      </c>
      <c r="J7" s="14" t="s">
        <v>68</v>
      </c>
    </row>
    <row r="8" spans="1:11" x14ac:dyDescent="0.25">
      <c r="A8" s="9">
        <v>0</v>
      </c>
      <c r="B8" s="3" t="s">
        <v>121</v>
      </c>
      <c r="C8" s="3" t="s">
        <v>87</v>
      </c>
      <c r="D8" s="12">
        <v>9981345111</v>
      </c>
      <c r="E8" s="13" t="s">
        <v>92</v>
      </c>
      <c r="F8" s="15" t="str">
        <f t="shared" si="0"/>
        <v>P998134511102</v>
      </c>
      <c r="G8" s="15"/>
      <c r="H8" s="3" t="s">
        <v>89</v>
      </c>
      <c r="I8" s="14" t="s">
        <v>106</v>
      </c>
      <c r="J8" s="14" t="s">
        <v>68</v>
      </c>
    </row>
    <row r="9" spans="1:11" x14ac:dyDescent="0.25">
      <c r="A9" s="9">
        <v>0</v>
      </c>
      <c r="B9" s="3" t="s">
        <v>122</v>
      </c>
      <c r="C9" s="3" t="s">
        <v>87</v>
      </c>
      <c r="D9" s="12">
        <v>9981345111</v>
      </c>
      <c r="E9" s="13" t="s">
        <v>94</v>
      </c>
      <c r="F9" s="15" t="str">
        <f t="shared" si="0"/>
        <v>P998134511103</v>
      </c>
      <c r="G9" s="15"/>
      <c r="H9" s="3" t="s">
        <v>89</v>
      </c>
      <c r="I9" s="14" t="s">
        <v>106</v>
      </c>
      <c r="J9" s="14" t="s">
        <v>68</v>
      </c>
    </row>
    <row r="10" spans="1:11" x14ac:dyDescent="0.25">
      <c r="A10" s="9">
        <v>0</v>
      </c>
      <c r="B10" s="3" t="s">
        <v>123</v>
      </c>
      <c r="C10" s="3" t="s">
        <v>87</v>
      </c>
      <c r="D10" s="12">
        <v>9981345111</v>
      </c>
      <c r="E10" s="13" t="s">
        <v>101</v>
      </c>
      <c r="F10" s="15" t="str">
        <f t="shared" si="0"/>
        <v>P998134511104</v>
      </c>
      <c r="G10" s="15"/>
      <c r="H10" s="3" t="s">
        <v>89</v>
      </c>
      <c r="I10" s="14" t="s">
        <v>106</v>
      </c>
      <c r="J10" s="14" t="s">
        <v>68</v>
      </c>
    </row>
    <row r="11" spans="1:11" x14ac:dyDescent="0.25">
      <c r="A11" s="9">
        <v>0</v>
      </c>
      <c r="B11" s="3" t="s">
        <v>227</v>
      </c>
      <c r="C11" s="3" t="s">
        <v>228</v>
      </c>
      <c r="D11" s="12">
        <v>9805503258</v>
      </c>
      <c r="E11" s="13" t="s">
        <v>88</v>
      </c>
      <c r="F11" s="15" t="str">
        <f t="shared" si="0"/>
        <v>D980550325801</v>
      </c>
      <c r="G11" s="15"/>
      <c r="H11" s="3" t="s">
        <v>89</v>
      </c>
      <c r="I11" s="3" t="s">
        <v>260</v>
      </c>
      <c r="J11" s="14" t="s">
        <v>68</v>
      </c>
    </row>
    <row r="12" spans="1:11" x14ac:dyDescent="0.25">
      <c r="A12" s="9">
        <v>0</v>
      </c>
      <c r="B12" s="3" t="s">
        <v>172</v>
      </c>
      <c r="C12" s="3" t="s">
        <v>87</v>
      </c>
      <c r="D12" s="12">
        <v>9706311835</v>
      </c>
      <c r="E12" s="13" t="s">
        <v>88</v>
      </c>
      <c r="F12" s="15" t="str">
        <f t="shared" si="0"/>
        <v>P970631183501</v>
      </c>
      <c r="G12" s="15"/>
      <c r="H12" s="3" t="s">
        <v>89</v>
      </c>
      <c r="I12" s="14" t="s">
        <v>173</v>
      </c>
      <c r="J12" s="14" t="s">
        <v>68</v>
      </c>
    </row>
    <row r="13" spans="1:11" x14ac:dyDescent="0.25">
      <c r="A13" s="9">
        <v>0</v>
      </c>
      <c r="B13" s="3" t="s">
        <v>242</v>
      </c>
      <c r="C13" s="3" t="s">
        <v>228</v>
      </c>
      <c r="D13" s="12">
        <v>9625490384</v>
      </c>
      <c r="E13" s="13" t="s">
        <v>88</v>
      </c>
      <c r="F13" s="15" t="str">
        <f t="shared" si="0"/>
        <v>D962549038401</v>
      </c>
      <c r="G13" s="15"/>
      <c r="H13" s="3" t="s">
        <v>89</v>
      </c>
      <c r="I13" s="3" t="s">
        <v>266</v>
      </c>
      <c r="J13" s="14" t="s">
        <v>68</v>
      </c>
    </row>
    <row r="14" spans="1:11" x14ac:dyDescent="0.25">
      <c r="A14" s="9">
        <v>0</v>
      </c>
      <c r="B14" s="3" t="s">
        <v>519</v>
      </c>
      <c r="C14" s="3" t="s">
        <v>87</v>
      </c>
      <c r="D14" s="12">
        <v>9584445866</v>
      </c>
      <c r="E14" s="13" t="s">
        <v>88</v>
      </c>
      <c r="F14" s="15" t="str">
        <f t="shared" si="0"/>
        <v>P958444586601</v>
      </c>
      <c r="G14" s="15"/>
      <c r="H14" s="3" t="s">
        <v>465</v>
      </c>
      <c r="I14" s="14" t="s">
        <v>473</v>
      </c>
      <c r="J14" s="14" t="s">
        <v>68</v>
      </c>
    </row>
    <row r="15" spans="1:11" x14ac:dyDescent="0.25">
      <c r="A15" s="9">
        <v>0</v>
      </c>
      <c r="B15" s="3" t="s">
        <v>521</v>
      </c>
      <c r="C15" s="3" t="s">
        <v>87</v>
      </c>
      <c r="D15" s="12">
        <v>9584445866</v>
      </c>
      <c r="E15" s="13" t="s">
        <v>92</v>
      </c>
      <c r="F15" s="15" t="str">
        <f t="shared" si="0"/>
        <v>P958444586602</v>
      </c>
      <c r="G15" s="15"/>
      <c r="H15" s="3" t="s">
        <v>465</v>
      </c>
      <c r="I15" s="14" t="s">
        <v>469</v>
      </c>
      <c r="J15" s="14" t="s">
        <v>68</v>
      </c>
    </row>
    <row r="16" spans="1:11" x14ac:dyDescent="0.25">
      <c r="A16" s="9">
        <v>0</v>
      </c>
      <c r="B16" s="3" t="s">
        <v>522</v>
      </c>
      <c r="C16" s="3" t="s">
        <v>87</v>
      </c>
      <c r="D16" s="12">
        <v>9584445866</v>
      </c>
      <c r="E16" s="13" t="s">
        <v>94</v>
      </c>
      <c r="F16" s="15" t="str">
        <f t="shared" si="0"/>
        <v>P958444586603</v>
      </c>
      <c r="G16" s="15"/>
      <c r="H16" s="3" t="s">
        <v>465</v>
      </c>
      <c r="I16" s="14" t="s">
        <v>469</v>
      </c>
      <c r="J16" s="14" t="s">
        <v>68</v>
      </c>
    </row>
    <row r="17" spans="1:10" x14ac:dyDescent="0.25">
      <c r="A17" s="9">
        <v>0</v>
      </c>
      <c r="B17" s="3" t="s">
        <v>523</v>
      </c>
      <c r="C17" s="3" t="s">
        <v>87</v>
      </c>
      <c r="D17" s="12">
        <v>9584445866</v>
      </c>
      <c r="E17" s="13" t="s">
        <v>101</v>
      </c>
      <c r="F17" s="15" t="str">
        <f t="shared" si="0"/>
        <v>P958444586604</v>
      </c>
      <c r="G17" s="15"/>
      <c r="H17" s="3" t="s">
        <v>465</v>
      </c>
      <c r="I17" s="14" t="s">
        <v>473</v>
      </c>
      <c r="J17" s="14" t="s">
        <v>68</v>
      </c>
    </row>
    <row r="18" spans="1:10" x14ac:dyDescent="0.25">
      <c r="A18" s="9">
        <v>0</v>
      </c>
      <c r="B18" s="3" t="s">
        <v>493</v>
      </c>
      <c r="C18" s="3" t="s">
        <v>87</v>
      </c>
      <c r="D18" s="12">
        <v>9566658683</v>
      </c>
      <c r="E18" s="13" t="s">
        <v>88</v>
      </c>
      <c r="F18" s="15" t="str">
        <f t="shared" si="0"/>
        <v>P956665868301</v>
      </c>
      <c r="G18" s="15"/>
      <c r="H18" s="3" t="s">
        <v>465</v>
      </c>
      <c r="I18" s="14" t="s">
        <v>492</v>
      </c>
      <c r="J18" s="14" t="s">
        <v>68</v>
      </c>
    </row>
    <row r="19" spans="1:10" x14ac:dyDescent="0.25">
      <c r="A19" s="9">
        <v>0</v>
      </c>
      <c r="B19" s="3" t="s">
        <v>186</v>
      </c>
      <c r="C19" s="3" t="s">
        <v>100</v>
      </c>
      <c r="D19" s="12">
        <v>9465867908</v>
      </c>
      <c r="E19" s="13" t="s">
        <v>88</v>
      </c>
      <c r="F19" s="15" t="str">
        <f t="shared" si="0"/>
        <v>A946586790801</v>
      </c>
      <c r="G19" s="15"/>
      <c r="H19" s="3" t="s">
        <v>89</v>
      </c>
      <c r="I19" s="14" t="s">
        <v>187</v>
      </c>
      <c r="J19" s="14" t="s">
        <v>68</v>
      </c>
    </row>
    <row r="20" spans="1:10" x14ac:dyDescent="0.25">
      <c r="A20" s="9">
        <v>0</v>
      </c>
      <c r="B20" s="3" t="s">
        <v>209</v>
      </c>
      <c r="C20" s="3" t="s">
        <v>87</v>
      </c>
      <c r="D20" s="12">
        <v>9448966990</v>
      </c>
      <c r="E20" s="13" t="s">
        <v>88</v>
      </c>
      <c r="F20" s="15" t="str">
        <f t="shared" si="0"/>
        <v>P944896699001</v>
      </c>
      <c r="G20" s="15"/>
      <c r="H20" s="3" t="s">
        <v>89</v>
      </c>
      <c r="J20" s="14" t="s">
        <v>68</v>
      </c>
    </row>
    <row r="21" spans="1:10" x14ac:dyDescent="0.25">
      <c r="A21" s="9">
        <v>0</v>
      </c>
      <c r="B21" s="3" t="s">
        <v>236</v>
      </c>
      <c r="C21" s="3" t="s">
        <v>228</v>
      </c>
      <c r="D21" s="12">
        <v>9447328000</v>
      </c>
      <c r="E21" s="13" t="s">
        <v>88</v>
      </c>
      <c r="F21" s="15" t="str">
        <f t="shared" si="0"/>
        <v>D944732800001</v>
      </c>
      <c r="G21" s="15"/>
      <c r="H21" s="3" t="s">
        <v>89</v>
      </c>
      <c r="I21" s="3" t="s">
        <v>237</v>
      </c>
      <c r="J21" s="14" t="s">
        <v>68</v>
      </c>
    </row>
    <row r="22" spans="1:10" x14ac:dyDescent="0.25">
      <c r="A22" s="9">
        <v>0</v>
      </c>
      <c r="B22" s="3" t="s">
        <v>542</v>
      </c>
      <c r="C22" s="3" t="s">
        <v>100</v>
      </c>
      <c r="D22" s="12">
        <v>9398615176</v>
      </c>
      <c r="E22" s="13" t="s">
        <v>88</v>
      </c>
      <c r="F22" s="15" t="str">
        <f t="shared" si="0"/>
        <v>A939861517601</v>
      </c>
      <c r="G22" s="15"/>
      <c r="H22" s="3" t="s">
        <v>543</v>
      </c>
      <c r="I22" s="14" t="s">
        <v>291</v>
      </c>
      <c r="J22" s="14" t="s">
        <v>68</v>
      </c>
    </row>
    <row r="23" spans="1:10" x14ac:dyDescent="0.25">
      <c r="A23" s="9">
        <v>0</v>
      </c>
      <c r="B23" s="3" t="s">
        <v>279</v>
      </c>
      <c r="C23" s="3" t="s">
        <v>100</v>
      </c>
      <c r="D23" s="12">
        <v>9326476403</v>
      </c>
      <c r="E23" s="13" t="s">
        <v>88</v>
      </c>
      <c r="F23" s="15" t="str">
        <f t="shared" si="0"/>
        <v>A932647640301</v>
      </c>
      <c r="G23" s="15"/>
      <c r="H23" s="3" t="s">
        <v>269</v>
      </c>
      <c r="I23" s="3" t="s">
        <v>280</v>
      </c>
      <c r="J23" s="14" t="s">
        <v>68</v>
      </c>
    </row>
    <row r="24" spans="1:10" x14ac:dyDescent="0.25">
      <c r="A24" s="9">
        <v>0</v>
      </c>
      <c r="B24" s="3" t="s">
        <v>234</v>
      </c>
      <c r="C24" s="3" t="s">
        <v>228</v>
      </c>
      <c r="D24" s="12">
        <v>9199549687</v>
      </c>
      <c r="E24" s="13" t="s">
        <v>88</v>
      </c>
      <c r="F24" s="15" t="str">
        <f t="shared" si="0"/>
        <v>D919954968701</v>
      </c>
      <c r="G24" s="15"/>
      <c r="H24" s="3" t="s">
        <v>89</v>
      </c>
      <c r="I24" s="3" t="s">
        <v>263</v>
      </c>
      <c r="J24" s="14" t="s">
        <v>68</v>
      </c>
    </row>
    <row r="25" spans="1:10" x14ac:dyDescent="0.25">
      <c r="A25" s="9">
        <v>0</v>
      </c>
      <c r="B25" s="3" t="s">
        <v>212</v>
      </c>
      <c r="C25" s="3" t="s">
        <v>87</v>
      </c>
      <c r="D25" s="12">
        <v>9176483743</v>
      </c>
      <c r="E25" s="13" t="s">
        <v>88</v>
      </c>
      <c r="F25" s="15" t="str">
        <f t="shared" si="0"/>
        <v>P917648374301</v>
      </c>
      <c r="G25" s="15"/>
      <c r="H25" s="3" t="s">
        <v>89</v>
      </c>
      <c r="J25" s="14" t="s">
        <v>68</v>
      </c>
    </row>
    <row r="26" spans="1:10" x14ac:dyDescent="0.25">
      <c r="A26" s="9">
        <v>0</v>
      </c>
      <c r="B26" s="3" t="s">
        <v>158</v>
      </c>
      <c r="C26" s="3" t="s">
        <v>97</v>
      </c>
      <c r="D26" s="12">
        <v>9143556198</v>
      </c>
      <c r="E26" s="13" t="s">
        <v>88</v>
      </c>
      <c r="F26" s="15" t="str">
        <f t="shared" si="0"/>
        <v>L914355619801</v>
      </c>
      <c r="G26" s="15"/>
      <c r="H26" s="3" t="s">
        <v>89</v>
      </c>
      <c r="I26" s="14" t="s">
        <v>152</v>
      </c>
      <c r="J26" s="14" t="s">
        <v>68</v>
      </c>
    </row>
    <row r="27" spans="1:10" x14ac:dyDescent="0.25">
      <c r="A27" s="9">
        <v>0</v>
      </c>
      <c r="B27" s="3" t="s">
        <v>230</v>
      </c>
      <c r="C27" s="3" t="s">
        <v>228</v>
      </c>
      <c r="D27" s="12">
        <v>9020644348</v>
      </c>
      <c r="E27" s="13" t="s">
        <v>88</v>
      </c>
      <c r="F27" s="15" t="str">
        <f t="shared" si="0"/>
        <v>D902064434801</v>
      </c>
      <c r="G27" s="15"/>
      <c r="H27" s="3" t="s">
        <v>89</v>
      </c>
      <c r="I27" s="3" t="s">
        <v>250</v>
      </c>
      <c r="J27" s="14" t="s">
        <v>68</v>
      </c>
    </row>
    <row r="28" spans="1:10" x14ac:dyDescent="0.25">
      <c r="A28" s="9">
        <v>0</v>
      </c>
      <c r="B28" s="3" t="s">
        <v>242</v>
      </c>
      <c r="C28" s="3" t="s">
        <v>228</v>
      </c>
      <c r="D28" s="12">
        <v>8998636637</v>
      </c>
      <c r="E28" s="13" t="s">
        <v>88</v>
      </c>
      <c r="F28" s="15" t="str">
        <f t="shared" si="0"/>
        <v>D899863663701</v>
      </c>
      <c r="G28" s="15"/>
      <c r="H28" s="3" t="s">
        <v>89</v>
      </c>
      <c r="I28" s="3" t="s">
        <v>258</v>
      </c>
      <c r="J28" s="14" t="s">
        <v>68</v>
      </c>
    </row>
    <row r="29" spans="1:10" x14ac:dyDescent="0.25">
      <c r="A29" s="9">
        <v>0</v>
      </c>
      <c r="B29" s="3" t="s">
        <v>210</v>
      </c>
      <c r="C29" s="3" t="s">
        <v>87</v>
      </c>
      <c r="D29" s="12">
        <v>8963778293</v>
      </c>
      <c r="E29" s="13" t="s">
        <v>88</v>
      </c>
      <c r="F29" s="15" t="str">
        <f t="shared" si="0"/>
        <v>P896377829301</v>
      </c>
      <c r="G29" s="15"/>
      <c r="H29" s="3" t="s">
        <v>89</v>
      </c>
      <c r="J29" s="14" t="s">
        <v>68</v>
      </c>
    </row>
    <row r="30" spans="1:10" x14ac:dyDescent="0.25">
      <c r="A30" s="9">
        <v>0</v>
      </c>
      <c r="B30" s="3" t="s">
        <v>518</v>
      </c>
      <c r="C30" s="3" t="s">
        <v>87</v>
      </c>
      <c r="D30" s="12">
        <v>8946678454</v>
      </c>
      <c r="E30" s="13" t="s">
        <v>88</v>
      </c>
      <c r="F30" s="15" t="str">
        <f t="shared" si="0"/>
        <v>P894667845401</v>
      </c>
      <c r="G30" s="15"/>
      <c r="H30" s="3" t="s">
        <v>465</v>
      </c>
      <c r="I30" s="14" t="s">
        <v>479</v>
      </c>
      <c r="J30" s="14" t="s">
        <v>68</v>
      </c>
    </row>
    <row r="31" spans="1:10" x14ac:dyDescent="0.25">
      <c r="A31" s="9">
        <v>0</v>
      </c>
      <c r="B31" s="3" t="s">
        <v>223</v>
      </c>
      <c r="C31" s="3" t="s">
        <v>219</v>
      </c>
      <c r="D31" s="12">
        <v>8931365000</v>
      </c>
      <c r="E31" s="13" t="s">
        <v>88</v>
      </c>
      <c r="F31" s="15" t="str">
        <f t="shared" si="0"/>
        <v>T893136500001</v>
      </c>
      <c r="G31" s="15"/>
      <c r="H31" s="3" t="s">
        <v>89</v>
      </c>
      <c r="I31" s="3" t="s">
        <v>224</v>
      </c>
      <c r="J31" s="14" t="s">
        <v>68</v>
      </c>
    </row>
    <row r="32" spans="1:10" x14ac:dyDescent="0.25">
      <c r="A32" s="9">
        <v>0</v>
      </c>
      <c r="B32" s="3" t="s">
        <v>141</v>
      </c>
      <c r="C32" s="3" t="s">
        <v>100</v>
      </c>
      <c r="D32" s="12">
        <v>8884586941</v>
      </c>
      <c r="E32" s="13" t="s">
        <v>88</v>
      </c>
      <c r="F32" s="15" t="str">
        <f t="shared" si="0"/>
        <v>A888458694101</v>
      </c>
      <c r="G32" s="15"/>
      <c r="H32" s="3" t="s">
        <v>89</v>
      </c>
      <c r="I32" s="14" t="s">
        <v>142</v>
      </c>
      <c r="J32" s="14" t="s">
        <v>68</v>
      </c>
    </row>
    <row r="33" spans="1:10" x14ac:dyDescent="0.25">
      <c r="A33" s="9">
        <v>0</v>
      </c>
      <c r="B33" s="3" t="s">
        <v>227</v>
      </c>
      <c r="C33" s="3" t="s">
        <v>228</v>
      </c>
      <c r="D33" s="12">
        <v>8868947091</v>
      </c>
      <c r="E33" s="13" t="s">
        <v>88</v>
      </c>
      <c r="F33" s="15" t="str">
        <f t="shared" si="0"/>
        <v>D886894709101</v>
      </c>
      <c r="G33" s="15"/>
      <c r="H33" s="3" t="s">
        <v>89</v>
      </c>
      <c r="I33" s="3" t="s">
        <v>248</v>
      </c>
      <c r="J33" s="14" t="s">
        <v>68</v>
      </c>
    </row>
    <row r="34" spans="1:10" x14ac:dyDescent="0.25">
      <c r="A34" s="9">
        <v>0</v>
      </c>
      <c r="B34" s="3" t="s">
        <v>239</v>
      </c>
      <c r="C34" s="3" t="s">
        <v>228</v>
      </c>
      <c r="D34" s="12">
        <v>8846252884</v>
      </c>
      <c r="E34" s="13" t="s">
        <v>88</v>
      </c>
      <c r="F34" s="15" t="str">
        <f t="shared" si="0"/>
        <v>D884625288401</v>
      </c>
      <c r="G34" s="15"/>
      <c r="H34" s="3" t="s">
        <v>89</v>
      </c>
      <c r="I34" s="3" t="s">
        <v>265</v>
      </c>
      <c r="J34" s="14" t="s">
        <v>68</v>
      </c>
    </row>
    <row r="35" spans="1:10" x14ac:dyDescent="0.25">
      <c r="A35" s="9">
        <v>0</v>
      </c>
      <c r="B35" s="3" t="s">
        <v>232</v>
      </c>
      <c r="C35" s="3" t="s">
        <v>228</v>
      </c>
      <c r="D35" s="12">
        <v>8777936909</v>
      </c>
      <c r="E35" s="13" t="s">
        <v>88</v>
      </c>
      <c r="F35" s="15" t="str">
        <f t="shared" ref="F35:F66" si="1">CONCATENATE(C35,D35,RIGHT(LEFT(E35,3),2))</f>
        <v>D877793690901</v>
      </c>
      <c r="G35" s="15"/>
      <c r="H35" s="3" t="s">
        <v>89</v>
      </c>
      <c r="I35" s="3" t="s">
        <v>262</v>
      </c>
      <c r="J35" s="14" t="s">
        <v>68</v>
      </c>
    </row>
    <row r="36" spans="1:10" x14ac:dyDescent="0.25">
      <c r="A36" s="9">
        <v>0</v>
      </c>
      <c r="B36" s="3" t="s">
        <v>289</v>
      </c>
      <c r="C36" s="3" t="s">
        <v>100</v>
      </c>
      <c r="D36" s="12">
        <v>8681979774</v>
      </c>
      <c r="E36" s="13" t="s">
        <v>88</v>
      </c>
      <c r="F36" s="15" t="str">
        <f t="shared" si="1"/>
        <v>A868197977401</v>
      </c>
      <c r="G36" s="15"/>
      <c r="H36" s="3" t="s">
        <v>290</v>
      </c>
      <c r="I36" s="14" t="s">
        <v>291</v>
      </c>
      <c r="J36" s="14" t="s">
        <v>68</v>
      </c>
    </row>
    <row r="37" spans="1:10" x14ac:dyDescent="0.25">
      <c r="A37" s="9">
        <v>0</v>
      </c>
      <c r="B37" s="3" t="s">
        <v>211</v>
      </c>
      <c r="C37" s="3" t="s">
        <v>100</v>
      </c>
      <c r="D37" s="12">
        <v>8664110766</v>
      </c>
      <c r="E37" s="13" t="s">
        <v>88</v>
      </c>
      <c r="F37" s="15" t="str">
        <f t="shared" si="1"/>
        <v>A866411076601</v>
      </c>
      <c r="G37" s="15"/>
      <c r="H37" s="3" t="s">
        <v>89</v>
      </c>
      <c r="J37" s="14" t="s">
        <v>68</v>
      </c>
    </row>
    <row r="38" spans="1:10" x14ac:dyDescent="0.25">
      <c r="A38" s="9">
        <v>0</v>
      </c>
      <c r="B38" s="3" t="s">
        <v>164</v>
      </c>
      <c r="C38" s="3" t="s">
        <v>100</v>
      </c>
      <c r="D38" s="12">
        <v>8626445872</v>
      </c>
      <c r="E38" s="13" t="s">
        <v>88</v>
      </c>
      <c r="F38" s="15" t="str">
        <f t="shared" si="1"/>
        <v>A862644587201</v>
      </c>
      <c r="G38" s="15"/>
      <c r="H38" s="3" t="s">
        <v>89</v>
      </c>
      <c r="I38" s="14" t="s">
        <v>165</v>
      </c>
      <c r="J38" s="14" t="s">
        <v>68</v>
      </c>
    </row>
    <row r="39" spans="1:10" x14ac:dyDescent="0.25">
      <c r="A39" s="9">
        <v>0</v>
      </c>
      <c r="B39" s="3" t="s">
        <v>230</v>
      </c>
      <c r="C39" s="3" t="s">
        <v>228</v>
      </c>
      <c r="D39" s="12">
        <v>8490161796</v>
      </c>
      <c r="E39" s="13" t="s">
        <v>88</v>
      </c>
      <c r="F39" s="15" t="str">
        <f t="shared" si="1"/>
        <v>D849016179601</v>
      </c>
      <c r="G39" s="15"/>
      <c r="H39" s="3" t="s">
        <v>89</v>
      </c>
      <c r="I39" s="3" t="s">
        <v>261</v>
      </c>
      <c r="J39" s="14" t="s">
        <v>68</v>
      </c>
    </row>
    <row r="40" spans="1:10" x14ac:dyDescent="0.25">
      <c r="A40" s="9">
        <v>0</v>
      </c>
      <c r="B40" s="3" t="s">
        <v>124</v>
      </c>
      <c r="C40" s="3" t="s">
        <v>87</v>
      </c>
      <c r="D40" s="12">
        <v>8454877745</v>
      </c>
      <c r="E40" s="13" t="s">
        <v>88</v>
      </c>
      <c r="F40" s="15" t="str">
        <f t="shared" si="1"/>
        <v>P845487774501</v>
      </c>
      <c r="G40" s="15"/>
      <c r="H40" s="3" t="s">
        <v>89</v>
      </c>
      <c r="I40" s="14" t="s">
        <v>106</v>
      </c>
      <c r="J40" s="14" t="s">
        <v>68</v>
      </c>
    </row>
    <row r="41" spans="1:10" x14ac:dyDescent="0.25">
      <c r="A41" s="9">
        <v>0</v>
      </c>
      <c r="B41" s="3" t="s">
        <v>215</v>
      </c>
      <c r="C41" s="3" t="s">
        <v>100</v>
      </c>
      <c r="D41" s="12">
        <v>8307431443</v>
      </c>
      <c r="E41" s="13" t="s">
        <v>88</v>
      </c>
      <c r="F41" s="15" t="str">
        <f t="shared" si="1"/>
        <v>A830743144301</v>
      </c>
      <c r="G41" s="15"/>
      <c r="H41" s="3" t="s">
        <v>89</v>
      </c>
      <c r="J41" s="14" t="s">
        <v>68</v>
      </c>
    </row>
    <row r="42" spans="1:10" x14ac:dyDescent="0.25">
      <c r="A42" s="9">
        <v>0</v>
      </c>
      <c r="B42" s="3" t="s">
        <v>216</v>
      </c>
      <c r="C42" s="3" t="s">
        <v>100</v>
      </c>
      <c r="D42" s="12">
        <v>8304463064</v>
      </c>
      <c r="E42" s="13" t="s">
        <v>88</v>
      </c>
      <c r="F42" s="15" t="str">
        <f t="shared" si="1"/>
        <v>A830446306401</v>
      </c>
      <c r="G42" s="15"/>
      <c r="H42" s="3" t="s">
        <v>89</v>
      </c>
      <c r="I42" s="3" t="s">
        <v>217</v>
      </c>
      <c r="J42" s="14" t="s">
        <v>68</v>
      </c>
    </row>
    <row r="43" spans="1:10" x14ac:dyDescent="0.25">
      <c r="A43" s="9">
        <v>0</v>
      </c>
      <c r="B43" s="3" t="s">
        <v>530</v>
      </c>
      <c r="C43" s="3" t="s">
        <v>97</v>
      </c>
      <c r="D43" s="12">
        <v>8180119996</v>
      </c>
      <c r="E43" s="13" t="s">
        <v>88</v>
      </c>
      <c r="F43" s="15" t="str">
        <f t="shared" si="1"/>
        <v>L818011999601</v>
      </c>
      <c r="G43" s="15"/>
      <c r="H43" s="3" t="s">
        <v>531</v>
      </c>
      <c r="I43" s="14" t="s">
        <v>152</v>
      </c>
      <c r="J43" s="14" t="s">
        <v>68</v>
      </c>
    </row>
    <row r="44" spans="1:10" x14ac:dyDescent="0.25">
      <c r="A44" s="9">
        <v>0</v>
      </c>
      <c r="B44" s="3" t="s">
        <v>95</v>
      </c>
      <c r="C44" s="3" t="s">
        <v>87</v>
      </c>
      <c r="D44" s="12">
        <v>8124895376</v>
      </c>
      <c r="E44" s="13" t="s">
        <v>88</v>
      </c>
      <c r="F44" s="15" t="str">
        <f t="shared" si="1"/>
        <v>P812489537601</v>
      </c>
      <c r="G44" s="15"/>
      <c r="H44" s="3" t="s">
        <v>89</v>
      </c>
      <c r="I44" s="14" t="s">
        <v>90</v>
      </c>
      <c r="J44" s="14" t="s">
        <v>68</v>
      </c>
    </row>
    <row r="45" spans="1:10" x14ac:dyDescent="0.25">
      <c r="A45" s="9">
        <v>0</v>
      </c>
      <c r="B45" s="3" t="s">
        <v>491</v>
      </c>
      <c r="C45" s="3" t="s">
        <v>87</v>
      </c>
      <c r="D45" s="12">
        <v>8113246589</v>
      </c>
      <c r="E45" s="13" t="s">
        <v>88</v>
      </c>
      <c r="F45" s="15" t="str">
        <f t="shared" si="1"/>
        <v>P811324658901</v>
      </c>
      <c r="G45" s="15"/>
      <c r="H45" s="3" t="s">
        <v>465</v>
      </c>
      <c r="I45" s="14" t="s">
        <v>492</v>
      </c>
      <c r="J45" s="14" t="s">
        <v>68</v>
      </c>
    </row>
    <row r="46" spans="1:10" x14ac:dyDescent="0.25">
      <c r="A46" s="9">
        <v>0</v>
      </c>
      <c r="B46" s="3" t="s">
        <v>432</v>
      </c>
      <c r="C46" s="3" t="s">
        <v>100</v>
      </c>
      <c r="D46" s="12">
        <v>8044984348</v>
      </c>
      <c r="E46" s="13" t="s">
        <v>88</v>
      </c>
      <c r="F46" s="15" t="str">
        <f t="shared" si="1"/>
        <v>A804498434801</v>
      </c>
      <c r="G46" s="15"/>
      <c r="H46" s="3" t="s">
        <v>433</v>
      </c>
      <c r="J46" s="14" t="s">
        <v>68</v>
      </c>
    </row>
    <row r="47" spans="1:10" x14ac:dyDescent="0.25">
      <c r="A47" s="9">
        <v>0</v>
      </c>
      <c r="B47" s="3" t="s">
        <v>236</v>
      </c>
      <c r="C47" s="3" t="s">
        <v>228</v>
      </c>
      <c r="D47" s="12">
        <v>8037560825</v>
      </c>
      <c r="E47" s="13" t="s">
        <v>88</v>
      </c>
      <c r="F47" s="15" t="str">
        <f t="shared" si="1"/>
        <v>D803756082501</v>
      </c>
      <c r="G47" s="15"/>
      <c r="H47" s="3" t="s">
        <v>89</v>
      </c>
      <c r="I47" s="3" t="s">
        <v>264</v>
      </c>
      <c r="J47" s="14" t="s">
        <v>68</v>
      </c>
    </row>
    <row r="48" spans="1:10" x14ac:dyDescent="0.25">
      <c r="A48" s="9">
        <v>0</v>
      </c>
      <c r="B48" s="3" t="s">
        <v>464</v>
      </c>
      <c r="C48" s="3" t="s">
        <v>100</v>
      </c>
      <c r="D48" s="12">
        <v>7784658974</v>
      </c>
      <c r="E48" s="13" t="s">
        <v>88</v>
      </c>
      <c r="F48" s="15" t="str">
        <f t="shared" si="1"/>
        <v>A778465897401</v>
      </c>
      <c r="G48" s="15"/>
      <c r="H48" s="3" t="s">
        <v>465</v>
      </c>
      <c r="I48" s="14" t="s">
        <v>90</v>
      </c>
      <c r="J48" s="14" t="s">
        <v>68</v>
      </c>
    </row>
    <row r="49" spans="1:10" x14ac:dyDescent="0.25">
      <c r="A49" s="9">
        <v>0</v>
      </c>
      <c r="B49" s="3" t="s">
        <v>481</v>
      </c>
      <c r="C49" s="3" t="s">
        <v>87</v>
      </c>
      <c r="D49" s="12">
        <v>7748425777</v>
      </c>
      <c r="E49" s="13" t="s">
        <v>88</v>
      </c>
      <c r="F49" s="15" t="str">
        <f t="shared" si="1"/>
        <v>P774842577701</v>
      </c>
      <c r="G49" s="15"/>
      <c r="H49" s="3" t="s">
        <v>465</v>
      </c>
      <c r="I49" s="14" t="s">
        <v>469</v>
      </c>
      <c r="J49" s="14" t="s">
        <v>68</v>
      </c>
    </row>
    <row r="50" spans="1:10" x14ac:dyDescent="0.25">
      <c r="A50" s="9">
        <v>0</v>
      </c>
      <c r="B50" s="3" t="s">
        <v>482</v>
      </c>
      <c r="C50" s="3" t="s">
        <v>87</v>
      </c>
      <c r="D50" s="12">
        <v>7748425777</v>
      </c>
      <c r="E50" s="13" t="s">
        <v>92</v>
      </c>
      <c r="F50" s="15" t="str">
        <f t="shared" si="1"/>
        <v>P774842577702</v>
      </c>
      <c r="G50" s="15"/>
      <c r="H50" s="3" t="s">
        <v>465</v>
      </c>
      <c r="I50" s="14" t="s">
        <v>469</v>
      </c>
      <c r="J50" s="14" t="s">
        <v>68</v>
      </c>
    </row>
    <row r="51" spans="1:10" x14ac:dyDescent="0.25">
      <c r="A51" s="9">
        <v>0</v>
      </c>
      <c r="B51" s="3" t="s">
        <v>484</v>
      </c>
      <c r="C51" s="3" t="s">
        <v>87</v>
      </c>
      <c r="D51" s="12">
        <v>7748425777</v>
      </c>
      <c r="E51" s="13" t="s">
        <v>94</v>
      </c>
      <c r="F51" s="15" t="str">
        <f t="shared" si="1"/>
        <v>P774842577703</v>
      </c>
      <c r="G51" s="15"/>
      <c r="H51" s="3" t="s">
        <v>465</v>
      </c>
      <c r="I51" s="14" t="s">
        <v>469</v>
      </c>
      <c r="J51" s="14" t="s">
        <v>68</v>
      </c>
    </row>
    <row r="52" spans="1:10" x14ac:dyDescent="0.25">
      <c r="A52" s="9">
        <v>0</v>
      </c>
      <c r="B52" s="3" t="s">
        <v>485</v>
      </c>
      <c r="C52" s="3" t="s">
        <v>87</v>
      </c>
      <c r="D52" s="12">
        <v>7748425777</v>
      </c>
      <c r="E52" s="13" t="s">
        <v>101</v>
      </c>
      <c r="F52" s="15" t="str">
        <f t="shared" si="1"/>
        <v>P774842577704</v>
      </c>
      <c r="G52" s="15"/>
      <c r="H52" s="3" t="s">
        <v>465</v>
      </c>
      <c r="I52" s="14" t="s">
        <v>469</v>
      </c>
      <c r="J52" s="14" t="s">
        <v>68</v>
      </c>
    </row>
    <row r="53" spans="1:10" x14ac:dyDescent="0.25">
      <c r="A53" s="9">
        <v>0</v>
      </c>
      <c r="B53" s="3" t="s">
        <v>178</v>
      </c>
      <c r="C53" s="3" t="s">
        <v>100</v>
      </c>
      <c r="D53" s="12">
        <v>7685233571</v>
      </c>
      <c r="E53" s="13" t="s">
        <v>88</v>
      </c>
      <c r="F53" s="15" t="str">
        <f t="shared" si="1"/>
        <v>A768523357101</v>
      </c>
      <c r="G53" s="15"/>
      <c r="H53" s="3" t="s">
        <v>89</v>
      </c>
      <c r="I53" s="14" t="s">
        <v>165</v>
      </c>
      <c r="J53" s="14" t="s">
        <v>68</v>
      </c>
    </row>
    <row r="54" spans="1:10" x14ac:dyDescent="0.25">
      <c r="A54" s="9">
        <v>0</v>
      </c>
      <c r="B54" s="3" t="s">
        <v>150</v>
      </c>
      <c r="C54" s="3" t="s">
        <v>87</v>
      </c>
      <c r="D54" s="12">
        <f>D55</f>
        <v>7552370787</v>
      </c>
      <c r="E54" s="13" t="s">
        <v>92</v>
      </c>
      <c r="F54" s="15" t="str">
        <f t="shared" si="1"/>
        <v>P755237078702</v>
      </c>
      <c r="G54" s="15"/>
      <c r="H54" s="3" t="s">
        <v>89</v>
      </c>
      <c r="I54" s="14" t="s">
        <v>146</v>
      </c>
      <c r="J54" s="14" t="s">
        <v>68</v>
      </c>
    </row>
    <row r="55" spans="1:10" x14ac:dyDescent="0.25">
      <c r="A55" s="9">
        <v>0</v>
      </c>
      <c r="B55" s="3" t="s">
        <v>151</v>
      </c>
      <c r="C55" s="3" t="s">
        <v>97</v>
      </c>
      <c r="D55" s="12">
        <v>7552370787</v>
      </c>
      <c r="E55" s="13" t="s">
        <v>88</v>
      </c>
      <c r="F55" s="15" t="str">
        <f t="shared" si="1"/>
        <v>L755237078701</v>
      </c>
      <c r="G55" s="15"/>
      <c r="H55" s="3" t="s">
        <v>89</v>
      </c>
      <c r="I55" s="14" t="s">
        <v>152</v>
      </c>
      <c r="J55" s="14" t="s">
        <v>68</v>
      </c>
    </row>
    <row r="56" spans="1:10" x14ac:dyDescent="0.25">
      <c r="A56" s="9">
        <v>0</v>
      </c>
      <c r="B56" s="3" t="s">
        <v>516</v>
      </c>
      <c r="C56" s="3" t="s">
        <v>100</v>
      </c>
      <c r="D56" s="12">
        <v>7488545548</v>
      </c>
      <c r="E56" s="13" t="s">
        <v>88</v>
      </c>
      <c r="F56" s="15" t="str">
        <f t="shared" si="1"/>
        <v>A748854554801</v>
      </c>
      <c r="G56" s="15"/>
      <c r="H56" s="3" t="s">
        <v>465</v>
      </c>
      <c r="I56" s="14" t="s">
        <v>90</v>
      </c>
      <c r="J56" s="14" t="s">
        <v>68</v>
      </c>
    </row>
    <row r="57" spans="1:10" x14ac:dyDescent="0.25">
      <c r="A57" s="9">
        <v>0</v>
      </c>
      <c r="B57" s="3" t="s">
        <v>510</v>
      </c>
      <c r="C57" s="3" t="s">
        <v>87</v>
      </c>
      <c r="D57" s="12">
        <v>7484562168</v>
      </c>
      <c r="E57" s="13" t="s">
        <v>88</v>
      </c>
      <c r="F57" s="15" t="str">
        <f t="shared" si="1"/>
        <v>P748456216801</v>
      </c>
      <c r="G57" s="15"/>
      <c r="H57" s="3" t="s">
        <v>465</v>
      </c>
      <c r="I57" s="14" t="s">
        <v>511</v>
      </c>
      <c r="J57" s="14" t="s">
        <v>68</v>
      </c>
    </row>
    <row r="58" spans="1:10" x14ac:dyDescent="0.25">
      <c r="A58" s="9">
        <v>0</v>
      </c>
      <c r="B58" s="3" t="s">
        <v>512</v>
      </c>
      <c r="C58" s="3" t="s">
        <v>87</v>
      </c>
      <c r="D58" s="12">
        <v>7484562168</v>
      </c>
      <c r="E58" s="13" t="s">
        <v>92</v>
      </c>
      <c r="F58" s="15" t="str">
        <f t="shared" si="1"/>
        <v>P748456216802</v>
      </c>
      <c r="G58" s="15"/>
      <c r="H58" s="3" t="s">
        <v>465</v>
      </c>
      <c r="I58" s="14" t="s">
        <v>511</v>
      </c>
      <c r="J58" s="14" t="s">
        <v>68</v>
      </c>
    </row>
    <row r="59" spans="1:10" x14ac:dyDescent="0.25">
      <c r="A59" s="9">
        <v>0</v>
      </c>
      <c r="B59" s="3" t="s">
        <v>524</v>
      </c>
      <c r="C59" s="3" t="s">
        <v>87</v>
      </c>
      <c r="D59" s="12">
        <v>7458445763</v>
      </c>
      <c r="E59" s="13" t="s">
        <v>88</v>
      </c>
      <c r="F59" s="15" t="str">
        <f t="shared" si="1"/>
        <v>P745844576301</v>
      </c>
      <c r="G59" s="15"/>
      <c r="H59" s="3" t="s">
        <v>465</v>
      </c>
      <c r="I59" s="14" t="s">
        <v>525</v>
      </c>
      <c r="J59" s="14" t="s">
        <v>68</v>
      </c>
    </row>
    <row r="60" spans="1:10" x14ac:dyDescent="0.25">
      <c r="A60" s="9">
        <v>0</v>
      </c>
      <c r="B60" s="3" t="s">
        <v>156</v>
      </c>
      <c r="C60" s="3" t="s">
        <v>87</v>
      </c>
      <c r="D60" s="12">
        <v>7409578759</v>
      </c>
      <c r="E60" s="13" t="s">
        <v>88</v>
      </c>
      <c r="F60" s="15" t="str">
        <f t="shared" si="1"/>
        <v>P740957875901</v>
      </c>
      <c r="G60" s="15"/>
      <c r="H60" s="3" t="s">
        <v>89</v>
      </c>
      <c r="I60" s="14" t="s">
        <v>157</v>
      </c>
      <c r="J60" s="14" t="s">
        <v>68</v>
      </c>
    </row>
    <row r="61" spans="1:10" x14ac:dyDescent="0.25">
      <c r="A61" s="9">
        <v>0</v>
      </c>
      <c r="B61" s="3" t="s">
        <v>214</v>
      </c>
      <c r="C61" s="3" t="s">
        <v>87</v>
      </c>
      <c r="D61" s="12">
        <v>7408831263</v>
      </c>
      <c r="E61" s="13" t="s">
        <v>88</v>
      </c>
      <c r="F61" s="15" t="str">
        <f t="shared" si="1"/>
        <v>P740883126301</v>
      </c>
      <c r="G61" s="15"/>
      <c r="H61" s="3" t="s">
        <v>89</v>
      </c>
      <c r="J61" s="14" t="s">
        <v>68</v>
      </c>
    </row>
    <row r="62" spans="1:10" x14ac:dyDescent="0.25">
      <c r="A62" s="9">
        <v>0</v>
      </c>
      <c r="B62" s="3" t="s">
        <v>161</v>
      </c>
      <c r="C62" s="3" t="s">
        <v>87</v>
      </c>
      <c r="D62" s="12">
        <v>7321354748</v>
      </c>
      <c r="E62" s="13" t="s">
        <v>88</v>
      </c>
      <c r="F62" s="15" t="str">
        <f t="shared" si="1"/>
        <v>P732135474801</v>
      </c>
      <c r="G62" s="15"/>
      <c r="H62" s="3" t="s">
        <v>89</v>
      </c>
      <c r="I62" s="14" t="s">
        <v>162</v>
      </c>
      <c r="J62" s="14" t="s">
        <v>68</v>
      </c>
    </row>
    <row r="63" spans="1:10" x14ac:dyDescent="0.25">
      <c r="A63" s="9">
        <v>0</v>
      </c>
      <c r="B63" s="3" t="s">
        <v>179</v>
      </c>
      <c r="C63" s="3" t="s">
        <v>87</v>
      </c>
      <c r="D63" s="12">
        <v>7229805130</v>
      </c>
      <c r="E63" s="13" t="s">
        <v>88</v>
      </c>
      <c r="F63" s="15" t="str">
        <f t="shared" si="1"/>
        <v>P722980513001</v>
      </c>
      <c r="G63" s="15"/>
      <c r="H63" s="3" t="s">
        <v>89</v>
      </c>
      <c r="I63" s="14" t="s">
        <v>173</v>
      </c>
      <c r="J63" s="14" t="s">
        <v>68</v>
      </c>
    </row>
    <row r="64" spans="1:10" x14ac:dyDescent="0.25">
      <c r="A64" s="9">
        <v>0</v>
      </c>
      <c r="B64" s="3" t="s">
        <v>188</v>
      </c>
      <c r="C64" s="3" t="s">
        <v>100</v>
      </c>
      <c r="D64" s="12">
        <v>7153893275</v>
      </c>
      <c r="E64" s="13" t="s">
        <v>88</v>
      </c>
      <c r="F64" s="15" t="str">
        <f t="shared" si="1"/>
        <v>A715389327501</v>
      </c>
      <c r="G64" s="15"/>
      <c r="H64" s="3" t="s">
        <v>89</v>
      </c>
      <c r="I64" s="14" t="s">
        <v>189</v>
      </c>
      <c r="J64" s="14" t="s">
        <v>68</v>
      </c>
    </row>
    <row r="65" spans="1:10" x14ac:dyDescent="0.25">
      <c r="A65" s="9">
        <v>0</v>
      </c>
      <c r="B65" s="3" t="s">
        <v>182</v>
      </c>
      <c r="C65" s="3" t="s">
        <v>100</v>
      </c>
      <c r="D65" s="12">
        <v>7058378191</v>
      </c>
      <c r="E65" s="13" t="s">
        <v>88</v>
      </c>
      <c r="F65" s="15" t="str">
        <f t="shared" si="1"/>
        <v>A705837819101</v>
      </c>
      <c r="G65" s="15"/>
      <c r="H65" s="3" t="s">
        <v>89</v>
      </c>
      <c r="I65" s="14" t="s">
        <v>183</v>
      </c>
      <c r="J65" s="14" t="s">
        <v>68</v>
      </c>
    </row>
    <row r="66" spans="1:10" x14ac:dyDescent="0.25">
      <c r="A66" s="9">
        <v>0</v>
      </c>
      <c r="B66" s="3" t="s">
        <v>242</v>
      </c>
      <c r="C66" s="3" t="s">
        <v>228</v>
      </c>
      <c r="D66" s="12">
        <v>6961939788</v>
      </c>
      <c r="E66" s="13" t="s">
        <v>88</v>
      </c>
      <c r="F66" s="15" t="str">
        <f t="shared" si="1"/>
        <v>D696193978801</v>
      </c>
      <c r="G66" s="15"/>
      <c r="H66" s="3" t="s">
        <v>89</v>
      </c>
      <c r="I66" s="3" t="s">
        <v>243</v>
      </c>
      <c r="J66" s="14" t="s">
        <v>68</v>
      </c>
    </row>
    <row r="67" spans="1:10" x14ac:dyDescent="0.25">
      <c r="A67" s="9">
        <v>0</v>
      </c>
      <c r="B67" s="3" t="s">
        <v>230</v>
      </c>
      <c r="C67" s="3" t="s">
        <v>228</v>
      </c>
      <c r="D67" s="12">
        <v>6884371296</v>
      </c>
      <c r="E67" s="13" t="s">
        <v>88</v>
      </c>
      <c r="F67" s="15" t="str">
        <f t="shared" ref="F67:F98" si="2">CONCATENATE(C67,D67,RIGHT(LEFT(E67,3),2))</f>
        <v>D688437129601</v>
      </c>
      <c r="G67" s="15"/>
      <c r="H67" s="3" t="s">
        <v>89</v>
      </c>
      <c r="I67" s="3" t="s">
        <v>231</v>
      </c>
      <c r="J67" s="14" t="s">
        <v>68</v>
      </c>
    </row>
    <row r="68" spans="1:10" x14ac:dyDescent="0.25">
      <c r="A68" s="9">
        <v>0</v>
      </c>
      <c r="B68" s="3" t="s">
        <v>175</v>
      </c>
      <c r="C68" s="3" t="s">
        <v>87</v>
      </c>
      <c r="D68" s="12">
        <v>6856919822</v>
      </c>
      <c r="E68" s="13" t="s">
        <v>88</v>
      </c>
      <c r="F68" s="15" t="str">
        <f t="shared" si="2"/>
        <v>P685691982201</v>
      </c>
      <c r="G68" s="15"/>
      <c r="H68" s="3" t="s">
        <v>89</v>
      </c>
      <c r="I68" s="14" t="s">
        <v>170</v>
      </c>
      <c r="J68" s="14" t="s">
        <v>68</v>
      </c>
    </row>
    <row r="69" spans="1:10" x14ac:dyDescent="0.25">
      <c r="A69" s="9">
        <v>0</v>
      </c>
      <c r="B69" s="3" t="s">
        <v>129</v>
      </c>
      <c r="C69" s="3" t="s">
        <v>100</v>
      </c>
      <c r="D69" s="12">
        <v>6664976845</v>
      </c>
      <c r="E69" s="13" t="s">
        <v>88</v>
      </c>
      <c r="F69" s="15" t="str">
        <f t="shared" si="2"/>
        <v>A666497684501</v>
      </c>
      <c r="G69" s="15"/>
      <c r="H69" s="3" t="s">
        <v>89</v>
      </c>
      <c r="I69" s="14" t="s">
        <v>128</v>
      </c>
      <c r="J69" s="14" t="s">
        <v>68</v>
      </c>
    </row>
    <row r="70" spans="1:10" x14ac:dyDescent="0.25">
      <c r="A70" s="9">
        <v>0</v>
      </c>
      <c r="B70" s="3" t="s">
        <v>207</v>
      </c>
      <c r="C70" s="3" t="s">
        <v>100</v>
      </c>
      <c r="D70" s="12">
        <v>6658028977</v>
      </c>
      <c r="E70" s="13" t="s">
        <v>88</v>
      </c>
      <c r="F70" s="15" t="str">
        <f t="shared" si="2"/>
        <v>A665802897701</v>
      </c>
      <c r="G70" s="15"/>
      <c r="H70" s="3" t="s">
        <v>89</v>
      </c>
      <c r="J70" s="14" t="s">
        <v>68</v>
      </c>
    </row>
    <row r="71" spans="1:10" x14ac:dyDescent="0.25">
      <c r="A71" s="9">
        <v>0</v>
      </c>
      <c r="B71" s="3" t="s">
        <v>153</v>
      </c>
      <c r="C71" s="3" t="s">
        <v>87</v>
      </c>
      <c r="D71" s="12">
        <v>6651155331</v>
      </c>
      <c r="E71" s="13" t="s">
        <v>88</v>
      </c>
      <c r="F71" s="15" t="str">
        <f t="shared" si="2"/>
        <v>P665115533101</v>
      </c>
      <c r="G71" s="15"/>
      <c r="H71" s="3" t="s">
        <v>89</v>
      </c>
      <c r="I71" s="14" t="s">
        <v>126</v>
      </c>
      <c r="J71" s="14" t="s">
        <v>68</v>
      </c>
    </row>
    <row r="72" spans="1:10" x14ac:dyDescent="0.25">
      <c r="A72" s="9">
        <v>0</v>
      </c>
      <c r="B72" s="3" t="s">
        <v>480</v>
      </c>
      <c r="C72" s="3" t="s">
        <v>100</v>
      </c>
      <c r="D72" s="12">
        <v>6588574554</v>
      </c>
      <c r="E72" s="13" t="s">
        <v>88</v>
      </c>
      <c r="F72" s="15" t="str">
        <f t="shared" si="2"/>
        <v>A658857455401</v>
      </c>
      <c r="G72" s="15"/>
      <c r="H72" s="3" t="s">
        <v>465</v>
      </c>
      <c r="I72" s="14" t="s">
        <v>469</v>
      </c>
      <c r="J72" s="14" t="s">
        <v>68</v>
      </c>
    </row>
    <row r="73" spans="1:10" x14ac:dyDescent="0.25">
      <c r="A73" s="9">
        <v>0</v>
      </c>
      <c r="B73" s="3" t="s">
        <v>527</v>
      </c>
      <c r="C73" s="3" t="s">
        <v>87</v>
      </c>
      <c r="D73" s="12">
        <v>6585554584</v>
      </c>
      <c r="E73" s="13" t="s">
        <v>88</v>
      </c>
      <c r="F73" s="15" t="str">
        <f t="shared" si="2"/>
        <v>P658555458401</v>
      </c>
      <c r="G73" s="15"/>
      <c r="H73" s="3" t="s">
        <v>465</v>
      </c>
      <c r="I73" s="14" t="s">
        <v>528</v>
      </c>
      <c r="J73" s="14" t="s">
        <v>68</v>
      </c>
    </row>
    <row r="74" spans="1:10" x14ac:dyDescent="0.25">
      <c r="A74" s="9">
        <v>0</v>
      </c>
      <c r="B74" s="3" t="s">
        <v>529</v>
      </c>
      <c r="C74" s="3" t="s">
        <v>87</v>
      </c>
      <c r="D74" s="12">
        <v>6585554584</v>
      </c>
      <c r="E74" s="13" t="s">
        <v>92</v>
      </c>
      <c r="F74" s="15" t="str">
        <f t="shared" si="2"/>
        <v>P658555458402</v>
      </c>
      <c r="G74" s="15"/>
      <c r="H74" s="3" t="s">
        <v>465</v>
      </c>
      <c r="I74" s="14" t="s">
        <v>528</v>
      </c>
      <c r="J74" s="14" t="s">
        <v>68</v>
      </c>
    </row>
    <row r="75" spans="1:10" x14ac:dyDescent="0.25">
      <c r="A75" s="9">
        <v>0</v>
      </c>
      <c r="B75" s="3" t="s">
        <v>499</v>
      </c>
      <c r="C75" s="3" t="s">
        <v>87</v>
      </c>
      <c r="D75" s="12">
        <v>6581422431</v>
      </c>
      <c r="E75" s="13" t="s">
        <v>88</v>
      </c>
      <c r="F75" s="15" t="str">
        <f t="shared" si="2"/>
        <v>P658142243101</v>
      </c>
      <c r="G75" s="15"/>
      <c r="H75" s="3" t="s">
        <v>465</v>
      </c>
      <c r="I75" s="14" t="s">
        <v>495</v>
      </c>
      <c r="J75" s="14" t="s">
        <v>68</v>
      </c>
    </row>
    <row r="76" spans="1:10" x14ac:dyDescent="0.25">
      <c r="A76" s="9">
        <v>0</v>
      </c>
      <c r="B76" s="3" t="s">
        <v>99</v>
      </c>
      <c r="C76" s="3" t="s">
        <v>100</v>
      </c>
      <c r="D76" s="12">
        <v>6499188527</v>
      </c>
      <c r="E76" s="13" t="s">
        <v>88</v>
      </c>
      <c r="F76" s="15" t="str">
        <f t="shared" si="2"/>
        <v>A649918852701</v>
      </c>
      <c r="G76" s="15"/>
      <c r="H76" s="3" t="s">
        <v>89</v>
      </c>
      <c r="I76" s="14" t="s">
        <v>98</v>
      </c>
      <c r="J76" s="14" t="s">
        <v>68</v>
      </c>
    </row>
    <row r="77" spans="1:10" x14ac:dyDescent="0.25">
      <c r="A77" s="9">
        <v>0</v>
      </c>
      <c r="B77" s="3" t="s">
        <v>99</v>
      </c>
      <c r="C77" s="3" t="s">
        <v>100</v>
      </c>
      <c r="D77" s="12">
        <v>6499188527</v>
      </c>
      <c r="E77" s="13" t="s">
        <v>92</v>
      </c>
      <c r="F77" s="15" t="str">
        <f t="shared" si="2"/>
        <v>A649918852702</v>
      </c>
      <c r="G77" s="15"/>
      <c r="H77" s="3" t="s">
        <v>89</v>
      </c>
      <c r="I77" s="14" t="s">
        <v>98</v>
      </c>
      <c r="J77" s="14" t="s">
        <v>68</v>
      </c>
    </row>
    <row r="78" spans="1:10" x14ac:dyDescent="0.25">
      <c r="A78" s="9">
        <v>0</v>
      </c>
      <c r="B78" s="3" t="s">
        <v>99</v>
      </c>
      <c r="C78" s="3" t="s">
        <v>100</v>
      </c>
      <c r="D78" s="12">
        <v>6499188527</v>
      </c>
      <c r="E78" s="13" t="s">
        <v>94</v>
      </c>
      <c r="F78" s="15" t="str">
        <f t="shared" si="2"/>
        <v>A649918852703</v>
      </c>
      <c r="G78" s="15"/>
      <c r="H78" s="3" t="s">
        <v>89</v>
      </c>
      <c r="I78" s="14" t="s">
        <v>98</v>
      </c>
      <c r="J78" s="14" t="s">
        <v>68</v>
      </c>
    </row>
    <row r="79" spans="1:10" x14ac:dyDescent="0.25">
      <c r="A79" s="9">
        <v>0</v>
      </c>
      <c r="B79" s="3" t="s">
        <v>99</v>
      </c>
      <c r="C79" s="3" t="s">
        <v>100</v>
      </c>
      <c r="D79" s="12">
        <v>6499188527</v>
      </c>
      <c r="E79" s="13" t="s">
        <v>101</v>
      </c>
      <c r="F79" s="15" t="str">
        <f t="shared" si="2"/>
        <v>A649918852704</v>
      </c>
      <c r="G79" s="15"/>
      <c r="H79" s="3" t="s">
        <v>89</v>
      </c>
      <c r="I79" s="14" t="s">
        <v>98</v>
      </c>
      <c r="J79" s="14" t="s">
        <v>68</v>
      </c>
    </row>
    <row r="80" spans="1:10" x14ac:dyDescent="0.25">
      <c r="A80" s="9">
        <v>0</v>
      </c>
      <c r="B80" s="3" t="s">
        <v>99</v>
      </c>
      <c r="C80" s="3" t="s">
        <v>100</v>
      </c>
      <c r="D80" s="12">
        <v>6499188527</v>
      </c>
      <c r="E80" s="13" t="s">
        <v>102</v>
      </c>
      <c r="F80" s="15" t="str">
        <f t="shared" si="2"/>
        <v>A649918852705</v>
      </c>
      <c r="G80" s="15"/>
      <c r="H80" s="3" t="s">
        <v>89</v>
      </c>
      <c r="I80" s="14" t="s">
        <v>98</v>
      </c>
      <c r="J80" s="14" t="s">
        <v>68</v>
      </c>
    </row>
    <row r="81" spans="1:10" x14ac:dyDescent="0.25">
      <c r="A81" s="9">
        <v>0</v>
      </c>
      <c r="B81" s="3" t="s">
        <v>171</v>
      </c>
      <c r="C81" s="3" t="s">
        <v>100</v>
      </c>
      <c r="D81" s="12">
        <v>6434918964</v>
      </c>
      <c r="E81" s="13" t="s">
        <v>88</v>
      </c>
      <c r="F81" s="15" t="str">
        <f t="shared" si="2"/>
        <v>A643491896401</v>
      </c>
      <c r="G81" s="15"/>
      <c r="H81" s="3" t="s">
        <v>89</v>
      </c>
      <c r="I81" s="14" t="s">
        <v>165</v>
      </c>
      <c r="J81" s="14" t="s">
        <v>68</v>
      </c>
    </row>
    <row r="82" spans="1:10" x14ac:dyDescent="0.25">
      <c r="A82" s="9">
        <v>0</v>
      </c>
      <c r="B82" s="3" t="s">
        <v>190</v>
      </c>
      <c r="C82" s="3" t="s">
        <v>100</v>
      </c>
      <c r="D82" s="12">
        <v>6411242438</v>
      </c>
      <c r="E82" s="13" t="s">
        <v>88</v>
      </c>
      <c r="F82" s="15" t="str">
        <f t="shared" si="2"/>
        <v>A641124243801</v>
      </c>
      <c r="G82" s="15"/>
      <c r="H82" s="3" t="s">
        <v>89</v>
      </c>
      <c r="I82" s="14" t="s">
        <v>191</v>
      </c>
      <c r="J82" s="14" t="s">
        <v>68</v>
      </c>
    </row>
    <row r="83" spans="1:10" x14ac:dyDescent="0.25">
      <c r="A83" s="9">
        <v>0</v>
      </c>
      <c r="B83" s="3" t="s">
        <v>245</v>
      </c>
      <c r="C83" s="3" t="s">
        <v>228</v>
      </c>
      <c r="D83" s="12">
        <v>6336104988</v>
      </c>
      <c r="E83" s="13" t="s">
        <v>88</v>
      </c>
      <c r="F83" s="15" t="str">
        <f t="shared" si="2"/>
        <v>D633610498801</v>
      </c>
      <c r="G83" s="15"/>
      <c r="H83" s="3" t="s">
        <v>89</v>
      </c>
      <c r="I83" s="3" t="s">
        <v>259</v>
      </c>
      <c r="J83" s="14" t="s">
        <v>68</v>
      </c>
    </row>
    <row r="84" spans="1:10" x14ac:dyDescent="0.25">
      <c r="A84" s="9">
        <v>0</v>
      </c>
      <c r="B84" s="3" t="s">
        <v>538</v>
      </c>
      <c r="C84" s="3" t="s">
        <v>100</v>
      </c>
      <c r="D84" s="12">
        <v>6282627265</v>
      </c>
      <c r="E84" s="13" t="s">
        <v>88</v>
      </c>
      <c r="F84" s="15" t="str">
        <f t="shared" si="2"/>
        <v>A628262726501</v>
      </c>
      <c r="G84" s="15"/>
      <c r="H84" s="3" t="s">
        <v>225</v>
      </c>
      <c r="I84" s="3" t="s">
        <v>539</v>
      </c>
      <c r="J84" s="14" t="s">
        <v>68</v>
      </c>
    </row>
    <row r="85" spans="1:10" x14ac:dyDescent="0.25">
      <c r="A85" s="9">
        <v>0</v>
      </c>
      <c r="B85" s="3" t="s">
        <v>202</v>
      </c>
      <c r="C85" s="3" t="s">
        <v>100</v>
      </c>
      <c r="D85" s="12">
        <v>6003350716</v>
      </c>
      <c r="E85" s="13" t="s">
        <v>88</v>
      </c>
      <c r="F85" s="15" t="str">
        <f t="shared" si="2"/>
        <v>A600335071601</v>
      </c>
      <c r="G85" s="15"/>
      <c r="H85" s="3" t="s">
        <v>89</v>
      </c>
      <c r="I85" s="14" t="s">
        <v>203</v>
      </c>
      <c r="J85" s="14" t="s">
        <v>68</v>
      </c>
    </row>
    <row r="86" spans="1:10" x14ac:dyDescent="0.25">
      <c r="A86" s="9">
        <v>0</v>
      </c>
      <c r="B86" s="3" t="s">
        <v>137</v>
      </c>
      <c r="C86" s="3" t="s">
        <v>100</v>
      </c>
      <c r="D86" s="12">
        <v>5988846753</v>
      </c>
      <c r="E86" s="13" t="s">
        <v>88</v>
      </c>
      <c r="F86" s="15" t="str">
        <f t="shared" si="2"/>
        <v>A598884675301</v>
      </c>
      <c r="G86" s="15"/>
      <c r="H86" s="3" t="s">
        <v>89</v>
      </c>
      <c r="I86" s="14" t="s">
        <v>131</v>
      </c>
      <c r="J86" s="14" t="s">
        <v>68</v>
      </c>
    </row>
    <row r="87" spans="1:10" x14ac:dyDescent="0.25">
      <c r="A87" s="9">
        <v>0</v>
      </c>
      <c r="B87" s="3" t="s">
        <v>176</v>
      </c>
      <c r="C87" s="3" t="s">
        <v>87</v>
      </c>
      <c r="D87" s="12">
        <v>5931645221</v>
      </c>
      <c r="E87" s="13" t="s">
        <v>88</v>
      </c>
      <c r="F87" s="15" t="str">
        <f t="shared" si="2"/>
        <v>P593164522101</v>
      </c>
      <c r="G87" s="15"/>
      <c r="H87" s="3" t="s">
        <v>89</v>
      </c>
      <c r="I87" s="14" t="s">
        <v>173</v>
      </c>
      <c r="J87" s="14" t="s">
        <v>68</v>
      </c>
    </row>
    <row r="88" spans="1:10" x14ac:dyDescent="0.25">
      <c r="A88" s="9">
        <v>0</v>
      </c>
      <c r="B88" s="3" t="s">
        <v>154</v>
      </c>
      <c r="C88" s="3" t="s">
        <v>87</v>
      </c>
      <c r="D88" s="12">
        <v>5882371295</v>
      </c>
      <c r="E88" s="13" t="s">
        <v>88</v>
      </c>
      <c r="F88" s="15" t="str">
        <f t="shared" si="2"/>
        <v>P588237129501</v>
      </c>
      <c r="G88" s="15"/>
      <c r="H88" s="3" t="s">
        <v>89</v>
      </c>
      <c r="I88" s="14" t="s">
        <v>126</v>
      </c>
      <c r="J88" s="14" t="s">
        <v>68</v>
      </c>
    </row>
    <row r="89" spans="1:10" x14ac:dyDescent="0.25">
      <c r="A89" s="9">
        <v>0</v>
      </c>
      <c r="B89" s="3" t="s">
        <v>245</v>
      </c>
      <c r="C89" s="3" t="s">
        <v>228</v>
      </c>
      <c r="D89" s="12">
        <v>5864254690</v>
      </c>
      <c r="E89" s="13" t="s">
        <v>88</v>
      </c>
      <c r="F89" s="15" t="str">
        <f t="shared" si="2"/>
        <v>D586425469001</v>
      </c>
      <c r="G89" s="15"/>
      <c r="H89" s="3" t="s">
        <v>89</v>
      </c>
      <c r="I89" s="3" t="s">
        <v>246</v>
      </c>
      <c r="J89" s="14" t="s">
        <v>68</v>
      </c>
    </row>
    <row r="90" spans="1:10" x14ac:dyDescent="0.25">
      <c r="A90" s="9">
        <v>0</v>
      </c>
      <c r="B90" s="3" t="s">
        <v>271</v>
      </c>
      <c r="C90" s="3" t="s">
        <v>100</v>
      </c>
      <c r="D90" s="12">
        <v>5811113554</v>
      </c>
      <c r="E90" s="13" t="s">
        <v>88</v>
      </c>
      <c r="F90" s="15" t="str">
        <f t="shared" si="2"/>
        <v>A581111355401</v>
      </c>
      <c r="G90" s="15"/>
      <c r="H90" s="3" t="s">
        <v>269</v>
      </c>
      <c r="I90" s="3" t="s">
        <v>272</v>
      </c>
      <c r="J90" s="14" t="s">
        <v>68</v>
      </c>
    </row>
    <row r="91" spans="1:10" x14ac:dyDescent="0.25">
      <c r="A91" s="9">
        <v>0</v>
      </c>
      <c r="B91" s="3" t="s">
        <v>163</v>
      </c>
      <c r="C91" s="3" t="s">
        <v>100</v>
      </c>
      <c r="D91" s="12">
        <v>5808468137</v>
      </c>
      <c r="E91" s="13" t="s">
        <v>88</v>
      </c>
      <c r="F91" s="15" t="str">
        <f t="shared" si="2"/>
        <v>A580846813701</v>
      </c>
      <c r="G91" s="15"/>
      <c r="H91" s="3" t="s">
        <v>89</v>
      </c>
      <c r="I91" s="14" t="s">
        <v>160</v>
      </c>
      <c r="J91" s="14" t="s">
        <v>68</v>
      </c>
    </row>
    <row r="92" spans="1:10" x14ac:dyDescent="0.25">
      <c r="A92" s="9">
        <v>0</v>
      </c>
      <c r="B92" s="3" t="s">
        <v>135</v>
      </c>
      <c r="C92" s="3" t="s">
        <v>100</v>
      </c>
      <c r="D92" s="12">
        <v>5587458169</v>
      </c>
      <c r="E92" s="13" t="s">
        <v>88</v>
      </c>
      <c r="F92" s="15" t="str">
        <f t="shared" si="2"/>
        <v>A558745816901</v>
      </c>
      <c r="G92" s="15"/>
      <c r="H92" s="3" t="s">
        <v>89</v>
      </c>
      <c r="I92" s="14" t="s">
        <v>131</v>
      </c>
      <c r="J92" s="14" t="s">
        <v>68</v>
      </c>
    </row>
    <row r="93" spans="1:10" x14ac:dyDescent="0.25">
      <c r="A93" s="9">
        <v>0</v>
      </c>
      <c r="B93" s="3" t="s">
        <v>136</v>
      </c>
      <c r="C93" s="3" t="s">
        <v>100</v>
      </c>
      <c r="D93" s="12">
        <v>5587458169</v>
      </c>
      <c r="E93" s="13" t="s">
        <v>92</v>
      </c>
      <c r="F93" s="15" t="str">
        <f t="shared" si="2"/>
        <v>A558745816902</v>
      </c>
      <c r="G93" s="15"/>
      <c r="H93" s="3" t="s">
        <v>89</v>
      </c>
      <c r="I93" s="14" t="s">
        <v>131</v>
      </c>
      <c r="J93" s="14" t="s">
        <v>68</v>
      </c>
    </row>
    <row r="94" spans="1:10" x14ac:dyDescent="0.25">
      <c r="A94" s="9">
        <v>0</v>
      </c>
      <c r="B94" s="3" t="s">
        <v>149</v>
      </c>
      <c r="C94" s="3" t="s">
        <v>87</v>
      </c>
      <c r="D94" s="12">
        <v>5578896433</v>
      </c>
      <c r="E94" s="13" t="s">
        <v>88</v>
      </c>
      <c r="F94" s="15" t="str">
        <f t="shared" si="2"/>
        <v>P557889643301</v>
      </c>
      <c r="G94" s="15"/>
      <c r="H94" s="3" t="s">
        <v>89</v>
      </c>
      <c r="I94" s="14" t="s">
        <v>146</v>
      </c>
      <c r="J94" s="14" t="s">
        <v>68</v>
      </c>
    </row>
    <row r="95" spans="1:10" x14ac:dyDescent="0.25">
      <c r="A95" s="9">
        <v>0</v>
      </c>
      <c r="B95" s="3" t="s">
        <v>143</v>
      </c>
      <c r="C95" s="3" t="s">
        <v>87</v>
      </c>
      <c r="D95" s="12">
        <v>5555547861</v>
      </c>
      <c r="E95" s="13" t="s">
        <v>88</v>
      </c>
      <c r="F95" s="15" t="str">
        <f t="shared" si="2"/>
        <v>P555554786101</v>
      </c>
      <c r="G95" s="15"/>
      <c r="H95" s="3" t="s">
        <v>89</v>
      </c>
      <c r="I95" s="14" t="s">
        <v>144</v>
      </c>
      <c r="J95" s="14" t="s">
        <v>68</v>
      </c>
    </row>
    <row r="96" spans="1:10" x14ac:dyDescent="0.25">
      <c r="A96" s="9">
        <v>0</v>
      </c>
      <c r="B96" s="3" t="s">
        <v>127</v>
      </c>
      <c r="C96" s="3" t="s">
        <v>87</v>
      </c>
      <c r="D96" s="12">
        <v>5549986331</v>
      </c>
      <c r="E96" s="13" t="s">
        <v>88</v>
      </c>
      <c r="F96" s="15" t="str">
        <f t="shared" si="2"/>
        <v>P554998633101</v>
      </c>
      <c r="G96" s="15"/>
      <c r="H96" s="3" t="s">
        <v>89</v>
      </c>
      <c r="I96" s="14" t="s">
        <v>128</v>
      </c>
      <c r="J96" s="14" t="s">
        <v>68</v>
      </c>
    </row>
    <row r="97" spans="1:11" x14ac:dyDescent="0.25">
      <c r="A97" s="9">
        <v>0</v>
      </c>
      <c r="B97" s="3" t="s">
        <v>497</v>
      </c>
      <c r="C97" s="3" t="s">
        <v>87</v>
      </c>
      <c r="D97" s="12">
        <v>5487722154</v>
      </c>
      <c r="E97" s="13" t="s">
        <v>88</v>
      </c>
      <c r="F97" s="15" t="str">
        <f t="shared" si="2"/>
        <v>P548772215401</v>
      </c>
      <c r="G97" s="15"/>
      <c r="H97" s="3" t="s">
        <v>465</v>
      </c>
      <c r="I97" s="14" t="s">
        <v>495</v>
      </c>
      <c r="J97" s="14" t="s">
        <v>68</v>
      </c>
    </row>
    <row r="98" spans="1:11" x14ac:dyDescent="0.25">
      <c r="A98" s="9">
        <v>0</v>
      </c>
      <c r="B98" s="3" t="s">
        <v>498</v>
      </c>
      <c r="C98" s="3" t="s">
        <v>87</v>
      </c>
      <c r="D98" s="12">
        <v>5487722154</v>
      </c>
      <c r="E98" s="13" t="s">
        <v>92</v>
      </c>
      <c r="F98" s="15" t="str">
        <f t="shared" si="2"/>
        <v>P548772215402</v>
      </c>
      <c r="G98" s="15"/>
      <c r="H98" s="3" t="s">
        <v>465</v>
      </c>
      <c r="I98" s="14" t="s">
        <v>495</v>
      </c>
      <c r="J98" s="14" t="s">
        <v>51</v>
      </c>
    </row>
    <row r="99" spans="1:11" x14ac:dyDescent="0.25">
      <c r="A99" s="9">
        <v>0</v>
      </c>
      <c r="B99" s="3" t="s">
        <v>268</v>
      </c>
      <c r="C99" s="3" t="s">
        <v>87</v>
      </c>
      <c r="D99" s="12">
        <v>5474212771</v>
      </c>
      <c r="E99" s="13" t="s">
        <v>88</v>
      </c>
      <c r="F99" s="15" t="str">
        <f t="shared" ref="F99:F130" si="3">CONCATENATE(C99,D99,RIGHT(LEFT(E99,3),2))</f>
        <v>P547421277101</v>
      </c>
      <c r="G99" s="15"/>
      <c r="H99" s="3" t="s">
        <v>269</v>
      </c>
      <c r="I99" s="3" t="s">
        <v>270</v>
      </c>
      <c r="J99" s="14" t="s">
        <v>51</v>
      </c>
    </row>
    <row r="100" spans="1:11" x14ac:dyDescent="0.25">
      <c r="A100" s="9">
        <v>0</v>
      </c>
      <c r="B100" s="3" t="s">
        <v>96</v>
      </c>
      <c r="C100" s="3" t="s">
        <v>97</v>
      </c>
      <c r="D100" s="12">
        <v>5455781964</v>
      </c>
      <c r="E100" s="13" t="s">
        <v>88</v>
      </c>
      <c r="F100" s="15" t="str">
        <f t="shared" si="3"/>
        <v>L545578196401</v>
      </c>
      <c r="G100" s="15"/>
      <c r="H100" s="3" t="s">
        <v>89</v>
      </c>
      <c r="I100" s="14" t="s">
        <v>98</v>
      </c>
      <c r="J100" s="14" t="s">
        <v>51</v>
      </c>
    </row>
    <row r="101" spans="1:11" x14ac:dyDescent="0.25">
      <c r="A101" s="9">
        <v>0</v>
      </c>
      <c r="B101" s="3" t="s">
        <v>286</v>
      </c>
      <c r="C101" s="3" t="s">
        <v>100</v>
      </c>
      <c r="D101" s="12">
        <v>5369484983</v>
      </c>
      <c r="E101" s="13" t="s">
        <v>88</v>
      </c>
      <c r="F101" s="15" t="str">
        <f t="shared" si="3"/>
        <v>A536948498301</v>
      </c>
      <c r="G101" s="15"/>
      <c r="H101" s="3" t="s">
        <v>269</v>
      </c>
      <c r="J101" s="14" t="s">
        <v>51</v>
      </c>
      <c r="K101" s="3" t="s">
        <v>238</v>
      </c>
    </row>
    <row r="102" spans="1:11" x14ac:dyDescent="0.25">
      <c r="A102" s="9">
        <v>0</v>
      </c>
      <c r="B102" s="3" t="s">
        <v>177</v>
      </c>
      <c r="C102" s="3" t="s">
        <v>87</v>
      </c>
      <c r="D102" s="12">
        <v>5365668222</v>
      </c>
      <c r="E102" s="13" t="s">
        <v>88</v>
      </c>
      <c r="F102" s="15" t="str">
        <f t="shared" si="3"/>
        <v>P536566822201</v>
      </c>
      <c r="G102" s="15"/>
      <c r="H102" s="3" t="s">
        <v>89</v>
      </c>
      <c r="I102" s="14" t="s">
        <v>170</v>
      </c>
      <c r="J102" s="14" t="s">
        <v>51</v>
      </c>
      <c r="K102" s="3" t="s">
        <v>241</v>
      </c>
    </row>
    <row r="103" spans="1:11" x14ac:dyDescent="0.25">
      <c r="A103" s="9">
        <v>0</v>
      </c>
      <c r="B103" s="3" t="s">
        <v>540</v>
      </c>
      <c r="C103" s="3" t="s">
        <v>100</v>
      </c>
      <c r="D103" s="12">
        <v>5258823408</v>
      </c>
      <c r="E103" s="13" t="s">
        <v>88</v>
      </c>
      <c r="F103" s="15" t="str">
        <f t="shared" si="3"/>
        <v>A525882340801</v>
      </c>
      <c r="G103" s="15"/>
      <c r="H103" s="3" t="s">
        <v>225</v>
      </c>
      <c r="I103" s="3" t="s">
        <v>541</v>
      </c>
      <c r="J103" s="14" t="s">
        <v>51</v>
      </c>
      <c r="K103" s="3" t="s">
        <v>244</v>
      </c>
    </row>
    <row r="104" spans="1:11" x14ac:dyDescent="0.25">
      <c r="A104" s="9">
        <v>0</v>
      </c>
      <c r="B104" s="3" t="s">
        <v>436</v>
      </c>
      <c r="C104" s="3" t="s">
        <v>87</v>
      </c>
      <c r="D104" s="12">
        <v>5223038822</v>
      </c>
      <c r="E104" s="13" t="s">
        <v>88</v>
      </c>
      <c r="F104" s="15" t="str">
        <f t="shared" si="3"/>
        <v>P522303882201</v>
      </c>
      <c r="G104" s="15"/>
      <c r="H104" s="3" t="s">
        <v>433</v>
      </c>
      <c r="J104" s="14" t="s">
        <v>51</v>
      </c>
      <c r="K104" s="3" t="s">
        <v>247</v>
      </c>
    </row>
    <row r="105" spans="1:11" x14ac:dyDescent="0.25">
      <c r="A105" s="9">
        <v>0</v>
      </c>
      <c r="B105" s="3" t="s">
        <v>236</v>
      </c>
      <c r="C105" s="3" t="s">
        <v>228</v>
      </c>
      <c r="D105" s="12">
        <v>5136093360</v>
      </c>
      <c r="E105" s="13" t="s">
        <v>88</v>
      </c>
      <c r="F105" s="15" t="str">
        <f t="shared" si="3"/>
        <v>D513609336001</v>
      </c>
      <c r="G105" s="15"/>
      <c r="H105" s="3" t="s">
        <v>89</v>
      </c>
      <c r="I105" s="3" t="s">
        <v>256</v>
      </c>
      <c r="J105" s="14" t="s">
        <v>51</v>
      </c>
      <c r="K105" s="3" t="s">
        <v>249</v>
      </c>
    </row>
    <row r="106" spans="1:11" x14ac:dyDescent="0.25">
      <c r="A106" s="9">
        <v>0</v>
      </c>
      <c r="B106" s="3" t="s">
        <v>232</v>
      </c>
      <c r="C106" s="3" t="s">
        <v>228</v>
      </c>
      <c r="D106" s="12">
        <v>5029456305</v>
      </c>
      <c r="E106" s="13" t="s">
        <v>88</v>
      </c>
      <c r="F106" s="15" t="str">
        <f t="shared" si="3"/>
        <v>D502945630501</v>
      </c>
      <c r="G106" s="15"/>
      <c r="H106" s="3" t="s">
        <v>89</v>
      </c>
      <c r="I106" s="3" t="s">
        <v>252</v>
      </c>
      <c r="J106" s="14" t="s">
        <v>51</v>
      </c>
      <c r="K106" s="3" t="s">
        <v>251</v>
      </c>
    </row>
    <row r="107" spans="1:11" x14ac:dyDescent="0.25">
      <c r="A107" s="9">
        <v>0</v>
      </c>
      <c r="B107" s="3" t="s">
        <v>227</v>
      </c>
      <c r="C107" s="3" t="s">
        <v>228</v>
      </c>
      <c r="D107" s="12">
        <v>5023277286</v>
      </c>
      <c r="E107" s="13" t="s">
        <v>88</v>
      </c>
      <c r="F107" s="15" t="str">
        <f t="shared" si="3"/>
        <v>D502327728601</v>
      </c>
      <c r="G107" s="15"/>
      <c r="H107" s="3" t="s">
        <v>89</v>
      </c>
      <c r="I107" s="3" t="s">
        <v>229</v>
      </c>
      <c r="J107" s="14" t="s">
        <v>51</v>
      </c>
      <c r="K107" s="3" t="s">
        <v>253</v>
      </c>
    </row>
    <row r="108" spans="1:11" x14ac:dyDescent="0.25">
      <c r="A108" s="9">
        <v>0</v>
      </c>
      <c r="B108" s="3" t="s">
        <v>239</v>
      </c>
      <c r="C108" s="3" t="s">
        <v>228</v>
      </c>
      <c r="D108" s="12">
        <v>4994910021</v>
      </c>
      <c r="E108" s="13" t="s">
        <v>88</v>
      </c>
      <c r="F108" s="15" t="str">
        <f t="shared" si="3"/>
        <v>D499491002101</v>
      </c>
      <c r="G108" s="15"/>
      <c r="H108" s="3" t="s">
        <v>89</v>
      </c>
      <c r="I108" s="3" t="s">
        <v>257</v>
      </c>
      <c r="J108" s="14" t="s">
        <v>62</v>
      </c>
      <c r="K108" s="3" t="s">
        <v>255</v>
      </c>
    </row>
    <row r="109" spans="1:11" x14ac:dyDescent="0.25">
      <c r="A109" s="9">
        <v>0</v>
      </c>
      <c r="B109" s="3" t="s">
        <v>174</v>
      </c>
      <c r="C109" s="3" t="s">
        <v>100</v>
      </c>
      <c r="D109" s="12">
        <v>4976796332</v>
      </c>
      <c r="E109" s="13" t="s">
        <v>88</v>
      </c>
      <c r="F109" s="15" t="str">
        <f t="shared" si="3"/>
        <v>A497679633201</v>
      </c>
      <c r="G109" s="15"/>
      <c r="H109" s="3" t="s">
        <v>89</v>
      </c>
      <c r="I109" s="14" t="s">
        <v>165</v>
      </c>
      <c r="J109" s="14" t="s">
        <v>62</v>
      </c>
      <c r="K109" s="3" t="s">
        <v>255</v>
      </c>
    </row>
    <row r="110" spans="1:11" x14ac:dyDescent="0.25">
      <c r="A110" s="9">
        <v>0</v>
      </c>
      <c r="B110" s="3" t="s">
        <v>169</v>
      </c>
      <c r="C110" s="3" t="s">
        <v>87</v>
      </c>
      <c r="D110" s="12">
        <v>4949828526</v>
      </c>
      <c r="E110" s="13" t="s">
        <v>88</v>
      </c>
      <c r="F110" s="15" t="str">
        <f t="shared" si="3"/>
        <v>P494982852601</v>
      </c>
      <c r="G110" s="15"/>
      <c r="H110" s="3" t="s">
        <v>89</v>
      </c>
      <c r="I110" s="14" t="s">
        <v>170</v>
      </c>
      <c r="J110" s="14" t="s">
        <v>62</v>
      </c>
      <c r="K110" s="3" t="s">
        <v>255</v>
      </c>
    </row>
    <row r="111" spans="1:11" x14ac:dyDescent="0.25">
      <c r="A111" s="9">
        <v>0</v>
      </c>
      <c r="B111" s="3" t="s">
        <v>192</v>
      </c>
      <c r="C111" s="3" t="s">
        <v>100</v>
      </c>
      <c r="D111" s="12">
        <v>4938417642</v>
      </c>
      <c r="E111" s="13" t="s">
        <v>88</v>
      </c>
      <c r="F111" s="15" t="str">
        <f t="shared" si="3"/>
        <v>A493841764201</v>
      </c>
      <c r="G111" s="15"/>
      <c r="H111" s="3" t="s">
        <v>89</v>
      </c>
      <c r="I111" s="14" t="s">
        <v>193</v>
      </c>
      <c r="J111" s="14" t="s">
        <v>51</v>
      </c>
    </row>
    <row r="112" spans="1:11" x14ac:dyDescent="0.25">
      <c r="A112" s="9">
        <v>0</v>
      </c>
      <c r="B112" s="3" t="s">
        <v>155</v>
      </c>
      <c r="C112" s="3" t="s">
        <v>87</v>
      </c>
      <c r="D112" s="12">
        <v>4868228270</v>
      </c>
      <c r="E112" s="13" t="s">
        <v>88</v>
      </c>
      <c r="F112" s="15" t="str">
        <f t="shared" si="3"/>
        <v>P486822827001</v>
      </c>
      <c r="G112" s="15"/>
      <c r="H112" s="3" t="s">
        <v>89</v>
      </c>
      <c r="I112" s="14" t="s">
        <v>126</v>
      </c>
      <c r="J112" s="14" t="s">
        <v>51</v>
      </c>
    </row>
    <row r="113" spans="1:11" x14ac:dyDescent="0.25">
      <c r="A113" s="9">
        <v>0</v>
      </c>
      <c r="B113" s="3" t="s">
        <v>213</v>
      </c>
      <c r="C113" s="3" t="s">
        <v>100</v>
      </c>
      <c r="D113" s="12">
        <v>4763767164</v>
      </c>
      <c r="E113" s="13" t="s">
        <v>88</v>
      </c>
      <c r="F113" s="15" t="str">
        <f t="shared" si="3"/>
        <v>A476376716401</v>
      </c>
      <c r="G113" s="15"/>
      <c r="H113" s="3" t="s">
        <v>89</v>
      </c>
      <c r="J113" s="14" t="s">
        <v>62</v>
      </c>
    </row>
    <row r="114" spans="1:11" x14ac:dyDescent="0.25">
      <c r="A114" s="9">
        <v>0</v>
      </c>
      <c r="B114" s="3" t="s">
        <v>125</v>
      </c>
      <c r="C114" s="3" t="s">
        <v>87</v>
      </c>
      <c r="D114" s="12">
        <v>4646487512</v>
      </c>
      <c r="E114" s="13" t="s">
        <v>88</v>
      </c>
      <c r="F114" s="15" t="str">
        <f t="shared" si="3"/>
        <v>P464648751201</v>
      </c>
      <c r="G114" s="15"/>
      <c r="H114" s="3" t="s">
        <v>89</v>
      </c>
      <c r="I114" s="14" t="s">
        <v>126</v>
      </c>
      <c r="J114" s="14" t="s">
        <v>62</v>
      </c>
    </row>
    <row r="115" spans="1:11" x14ac:dyDescent="0.25">
      <c r="A115" s="9">
        <v>0</v>
      </c>
      <c r="B115" s="3" t="s">
        <v>204</v>
      </c>
      <c r="C115" s="3" t="s">
        <v>100</v>
      </c>
      <c r="D115" s="12">
        <v>4632928120</v>
      </c>
      <c r="E115" s="13" t="s">
        <v>88</v>
      </c>
      <c r="F115" s="15" t="str">
        <f t="shared" si="3"/>
        <v>A463292812001</v>
      </c>
      <c r="G115" s="15"/>
      <c r="H115" s="3" t="s">
        <v>89</v>
      </c>
      <c r="I115" s="14" t="s">
        <v>205</v>
      </c>
      <c r="J115" s="14" t="s">
        <v>62</v>
      </c>
    </row>
    <row r="116" spans="1:11" x14ac:dyDescent="0.25">
      <c r="A116" s="9">
        <v>0</v>
      </c>
      <c r="B116" s="3" t="s">
        <v>546</v>
      </c>
      <c r="C116" s="3" t="s">
        <v>87</v>
      </c>
      <c r="D116" s="12">
        <v>4565824637</v>
      </c>
      <c r="E116" s="13" t="s">
        <v>88</v>
      </c>
      <c r="F116" s="15" t="str">
        <f t="shared" si="3"/>
        <v>P456582463701</v>
      </c>
      <c r="G116" s="15"/>
      <c r="H116" s="3" t="s">
        <v>547</v>
      </c>
      <c r="J116" s="14" t="s">
        <v>62</v>
      </c>
    </row>
    <row r="117" spans="1:11" x14ac:dyDescent="0.25">
      <c r="A117" s="9">
        <v>0</v>
      </c>
      <c r="B117" s="3" t="s">
        <v>111</v>
      </c>
      <c r="C117" s="3" t="s">
        <v>87</v>
      </c>
      <c r="D117" s="12">
        <v>4561881564</v>
      </c>
      <c r="E117" s="13" t="s">
        <v>88</v>
      </c>
      <c r="F117" s="15" t="str">
        <f t="shared" si="3"/>
        <v>P456188156401</v>
      </c>
      <c r="G117" s="15"/>
      <c r="H117" s="3" t="s">
        <v>89</v>
      </c>
      <c r="I117" s="14" t="s">
        <v>106</v>
      </c>
      <c r="J117" s="14" t="s">
        <v>62</v>
      </c>
    </row>
    <row r="118" spans="1:11" x14ac:dyDescent="0.25">
      <c r="A118" s="9">
        <v>0</v>
      </c>
      <c r="B118" s="3" t="s">
        <v>112</v>
      </c>
      <c r="C118" s="3" t="s">
        <v>87</v>
      </c>
      <c r="D118" s="12">
        <v>4561881564</v>
      </c>
      <c r="E118" s="13" t="s">
        <v>92</v>
      </c>
      <c r="F118" s="15" t="str">
        <f t="shared" si="3"/>
        <v>P456188156402</v>
      </c>
      <c r="G118" s="15"/>
      <c r="H118" s="3" t="s">
        <v>89</v>
      </c>
      <c r="I118" s="14" t="s">
        <v>106</v>
      </c>
      <c r="J118" s="14" t="s">
        <v>62</v>
      </c>
    </row>
    <row r="119" spans="1:11" x14ac:dyDescent="0.25">
      <c r="A119" s="9">
        <v>0</v>
      </c>
      <c r="B119" s="3" t="s">
        <v>113</v>
      </c>
      <c r="C119" s="3" t="s">
        <v>87</v>
      </c>
      <c r="D119" s="12">
        <v>4561881564</v>
      </c>
      <c r="E119" s="13" t="s">
        <v>94</v>
      </c>
      <c r="F119" s="15" t="str">
        <f t="shared" si="3"/>
        <v>P456188156403</v>
      </c>
      <c r="G119" s="15"/>
      <c r="H119" s="3" t="s">
        <v>89</v>
      </c>
      <c r="I119" s="14" t="s">
        <v>106</v>
      </c>
      <c r="J119" s="14" t="s">
        <v>62</v>
      </c>
    </row>
    <row r="120" spans="1:11" x14ac:dyDescent="0.25">
      <c r="A120" s="9">
        <v>0</v>
      </c>
      <c r="B120" s="3" t="s">
        <v>114</v>
      </c>
      <c r="C120" s="3" t="s">
        <v>87</v>
      </c>
      <c r="D120" s="12">
        <v>4561881564</v>
      </c>
      <c r="E120" s="13" t="s">
        <v>101</v>
      </c>
      <c r="F120" s="15" t="str">
        <f t="shared" si="3"/>
        <v>P456188156404</v>
      </c>
      <c r="G120" s="15"/>
      <c r="H120" s="3" t="s">
        <v>89</v>
      </c>
      <c r="I120" s="14" t="s">
        <v>106</v>
      </c>
      <c r="J120" s="14" t="s">
        <v>62</v>
      </c>
    </row>
    <row r="121" spans="1:11" x14ac:dyDescent="0.25">
      <c r="A121" s="9">
        <v>0</v>
      </c>
      <c r="B121" s="3" t="s">
        <v>115</v>
      </c>
      <c r="C121" s="3" t="s">
        <v>87</v>
      </c>
      <c r="D121" s="12">
        <v>4561881564</v>
      </c>
      <c r="E121" s="13" t="s">
        <v>102</v>
      </c>
      <c r="F121" s="15" t="str">
        <f t="shared" si="3"/>
        <v>P456188156405</v>
      </c>
      <c r="G121" s="15"/>
      <c r="H121" s="3" t="s">
        <v>89</v>
      </c>
      <c r="I121" s="14" t="s">
        <v>106</v>
      </c>
      <c r="J121" s="14" t="s">
        <v>62</v>
      </c>
    </row>
    <row r="122" spans="1:11" x14ac:dyDescent="0.25">
      <c r="A122" s="9">
        <v>0</v>
      </c>
      <c r="B122" s="3" t="s">
        <v>116</v>
      </c>
      <c r="C122" s="3" t="s">
        <v>87</v>
      </c>
      <c r="D122" s="12">
        <v>4561881564</v>
      </c>
      <c r="E122" s="13" t="s">
        <v>117</v>
      </c>
      <c r="F122" s="15" t="str">
        <f t="shared" si="3"/>
        <v>P456188156406</v>
      </c>
      <c r="G122" s="15"/>
      <c r="H122" s="3" t="s">
        <v>89</v>
      </c>
      <c r="I122" s="14" t="s">
        <v>106</v>
      </c>
      <c r="J122" s="14" t="s">
        <v>51</v>
      </c>
      <c r="K122" s="3" t="s">
        <v>273</v>
      </c>
    </row>
    <row r="123" spans="1:11" x14ac:dyDescent="0.25">
      <c r="A123" s="9">
        <v>0</v>
      </c>
      <c r="B123" s="3" t="s">
        <v>118</v>
      </c>
      <c r="C123" s="3" t="s">
        <v>87</v>
      </c>
      <c r="D123" s="12">
        <v>4561881564</v>
      </c>
      <c r="E123" s="13" t="s">
        <v>119</v>
      </c>
      <c r="F123" s="15" t="str">
        <f t="shared" si="3"/>
        <v>P456188156407</v>
      </c>
      <c r="G123" s="15"/>
      <c r="H123" s="3" t="s">
        <v>89</v>
      </c>
      <c r="I123" s="14" t="s">
        <v>106</v>
      </c>
      <c r="J123" s="14" t="s">
        <v>51</v>
      </c>
      <c r="K123" s="3" t="s">
        <v>273</v>
      </c>
    </row>
    <row r="124" spans="1:11" x14ac:dyDescent="0.25">
      <c r="A124" s="9">
        <v>0</v>
      </c>
      <c r="B124" s="3" t="s">
        <v>472</v>
      </c>
      <c r="C124" s="3" t="s">
        <v>87</v>
      </c>
      <c r="D124" s="12">
        <v>4554826426</v>
      </c>
      <c r="E124" s="13" t="s">
        <v>88</v>
      </c>
      <c r="F124" s="15" t="str">
        <f t="shared" si="3"/>
        <v>P455482642601</v>
      </c>
      <c r="G124" s="15"/>
      <c r="H124" s="3" t="s">
        <v>465</v>
      </c>
      <c r="I124" s="14" t="s">
        <v>473</v>
      </c>
      <c r="J124" s="14" t="s">
        <v>51</v>
      </c>
      <c r="K124" s="3" t="s">
        <v>278</v>
      </c>
    </row>
    <row r="125" spans="1:11" x14ac:dyDescent="0.25">
      <c r="A125" s="9">
        <v>0</v>
      </c>
      <c r="B125" s="3" t="s">
        <v>474</v>
      </c>
      <c r="C125" s="3" t="s">
        <v>87</v>
      </c>
      <c r="D125" s="12">
        <v>4554826426</v>
      </c>
      <c r="E125" s="13" t="s">
        <v>92</v>
      </c>
      <c r="F125" s="15" t="str">
        <f t="shared" si="3"/>
        <v>P455482642602</v>
      </c>
      <c r="G125" s="15"/>
      <c r="H125" s="3" t="s">
        <v>465</v>
      </c>
      <c r="I125" s="14" t="s">
        <v>469</v>
      </c>
      <c r="J125" s="14" t="s">
        <v>51</v>
      </c>
      <c r="K125" s="3" t="s">
        <v>278</v>
      </c>
    </row>
    <row r="126" spans="1:11" x14ac:dyDescent="0.25">
      <c r="A126" s="9">
        <v>0</v>
      </c>
      <c r="B126" s="3" t="s">
        <v>475</v>
      </c>
      <c r="C126" s="3" t="s">
        <v>87</v>
      </c>
      <c r="D126" s="12">
        <v>4554826426</v>
      </c>
      <c r="E126" s="13" t="s">
        <v>101</v>
      </c>
      <c r="F126" s="15" t="str">
        <f t="shared" si="3"/>
        <v>P455482642604</v>
      </c>
      <c r="G126" s="15"/>
      <c r="H126" s="3" t="s">
        <v>465</v>
      </c>
      <c r="I126" s="14" t="s">
        <v>469</v>
      </c>
      <c r="J126" s="14" t="s">
        <v>51</v>
      </c>
    </row>
    <row r="127" spans="1:11" x14ac:dyDescent="0.25">
      <c r="A127" s="9">
        <v>0</v>
      </c>
      <c r="B127" s="3" t="s">
        <v>476</v>
      </c>
      <c r="C127" s="3" t="s">
        <v>87</v>
      </c>
      <c r="D127" s="12">
        <v>4554826426</v>
      </c>
      <c r="E127" s="13" t="s">
        <v>102</v>
      </c>
      <c r="F127" s="15" t="str">
        <f t="shared" si="3"/>
        <v>P455482642605</v>
      </c>
      <c r="G127" s="15"/>
      <c r="H127" s="3" t="s">
        <v>465</v>
      </c>
      <c r="I127" s="14" t="s">
        <v>477</v>
      </c>
      <c r="J127" s="14" t="s">
        <v>51</v>
      </c>
    </row>
    <row r="128" spans="1:11" x14ac:dyDescent="0.25">
      <c r="A128" s="9">
        <v>0</v>
      </c>
      <c r="B128" s="3" t="s">
        <v>478</v>
      </c>
      <c r="C128" s="3" t="s">
        <v>87</v>
      </c>
      <c r="D128" s="12">
        <v>4554826426</v>
      </c>
      <c r="E128" s="13" t="s">
        <v>94</v>
      </c>
      <c r="F128" s="15" t="str">
        <f t="shared" si="3"/>
        <v>P455482642603</v>
      </c>
      <c r="G128" s="15"/>
      <c r="H128" s="3" t="s">
        <v>465</v>
      </c>
      <c r="I128" s="14" t="s">
        <v>479</v>
      </c>
      <c r="J128" s="14" t="s">
        <v>51</v>
      </c>
    </row>
    <row r="129" spans="1:11" x14ac:dyDescent="0.25">
      <c r="A129" s="9">
        <v>0</v>
      </c>
      <c r="B129" s="3" t="s">
        <v>476</v>
      </c>
      <c r="C129" s="3" t="s">
        <v>87</v>
      </c>
      <c r="D129" s="12">
        <v>4554826426</v>
      </c>
      <c r="E129" s="13" t="s">
        <v>117</v>
      </c>
      <c r="F129" s="15" t="str">
        <f t="shared" si="3"/>
        <v>P455482642606</v>
      </c>
      <c r="G129" s="15"/>
      <c r="H129" s="3" t="s">
        <v>465</v>
      </c>
      <c r="I129" s="14" t="s">
        <v>477</v>
      </c>
      <c r="J129" s="14" t="s">
        <v>51</v>
      </c>
    </row>
    <row r="130" spans="1:11" x14ac:dyDescent="0.25">
      <c r="A130" s="9">
        <v>0</v>
      </c>
      <c r="B130" s="3" t="s">
        <v>145</v>
      </c>
      <c r="C130" s="3" t="s">
        <v>87</v>
      </c>
      <c r="D130" s="12">
        <v>4548785231</v>
      </c>
      <c r="E130" s="13" t="s">
        <v>88</v>
      </c>
      <c r="F130" s="15" t="str">
        <f t="shared" si="3"/>
        <v>P454878523101</v>
      </c>
      <c r="G130" s="15"/>
      <c r="H130" s="3" t="s">
        <v>89</v>
      </c>
      <c r="I130" s="14" t="s">
        <v>146</v>
      </c>
      <c r="J130" s="14" t="s">
        <v>51</v>
      </c>
    </row>
    <row r="131" spans="1:11" x14ac:dyDescent="0.25">
      <c r="A131" s="9">
        <v>0</v>
      </c>
      <c r="B131" s="3" t="s">
        <v>147</v>
      </c>
      <c r="C131" s="3" t="s">
        <v>87</v>
      </c>
      <c r="D131" s="12">
        <v>4548785231</v>
      </c>
      <c r="E131" s="13" t="s">
        <v>92</v>
      </c>
      <c r="F131" s="15" t="str">
        <f t="shared" ref="F131:F162" si="4">CONCATENATE(C131,D131,RIGHT(LEFT(E131,3),2))</f>
        <v>P454878523102</v>
      </c>
      <c r="G131" s="15"/>
      <c r="H131" s="3" t="s">
        <v>89</v>
      </c>
      <c r="I131" s="14" t="s">
        <v>146</v>
      </c>
      <c r="J131" s="14" t="s">
        <v>51</v>
      </c>
    </row>
    <row r="132" spans="1:11" x14ac:dyDescent="0.25">
      <c r="A132" s="9">
        <v>0</v>
      </c>
      <c r="B132" s="3" t="s">
        <v>148</v>
      </c>
      <c r="C132" s="3" t="s">
        <v>87</v>
      </c>
      <c r="D132" s="12">
        <v>4548785231</v>
      </c>
      <c r="E132" s="13" t="s">
        <v>94</v>
      </c>
      <c r="F132" s="15" t="str">
        <f t="shared" si="4"/>
        <v>P454878523103</v>
      </c>
      <c r="G132" s="15"/>
      <c r="H132" s="3" t="s">
        <v>89</v>
      </c>
      <c r="I132" s="14" t="s">
        <v>146</v>
      </c>
      <c r="J132" s="14" t="s">
        <v>51</v>
      </c>
      <c r="K132" s="3" t="s">
        <v>278</v>
      </c>
    </row>
    <row r="133" spans="1:11" x14ac:dyDescent="0.25">
      <c r="A133" s="9">
        <v>0</v>
      </c>
      <c r="B133" s="3" t="s">
        <v>134</v>
      </c>
      <c r="C133" s="3" t="s">
        <v>87</v>
      </c>
      <c r="D133" s="12">
        <v>4547878946</v>
      </c>
      <c r="E133" s="13" t="s">
        <v>88</v>
      </c>
      <c r="F133" s="15" t="str">
        <f t="shared" si="4"/>
        <v>P454787894601</v>
      </c>
      <c r="G133" s="15"/>
      <c r="H133" s="3" t="s">
        <v>89</v>
      </c>
      <c r="I133" s="14" t="s">
        <v>131</v>
      </c>
      <c r="J133" s="14" t="s">
        <v>51</v>
      </c>
      <c r="K133" s="3" t="s">
        <v>278</v>
      </c>
    </row>
    <row r="134" spans="1:11" x14ac:dyDescent="0.25">
      <c r="A134" s="9">
        <v>0</v>
      </c>
      <c r="B134" s="3" t="s">
        <v>225</v>
      </c>
      <c r="C134" s="3" t="s">
        <v>219</v>
      </c>
      <c r="D134" s="12">
        <v>4524657626</v>
      </c>
      <c r="E134" s="13" t="s">
        <v>88</v>
      </c>
      <c r="F134" s="15" t="str">
        <f t="shared" si="4"/>
        <v>T452465762601</v>
      </c>
      <c r="G134" s="15"/>
      <c r="H134" s="3" t="s">
        <v>89</v>
      </c>
      <c r="I134" s="3" t="s">
        <v>226</v>
      </c>
      <c r="J134" s="14" t="s">
        <v>51</v>
      </c>
      <c r="K134" s="3" t="s">
        <v>278</v>
      </c>
    </row>
    <row r="135" spans="1:11" x14ac:dyDescent="0.25">
      <c r="A135" s="9">
        <v>0</v>
      </c>
      <c r="B135" s="3" t="s">
        <v>86</v>
      </c>
      <c r="C135" s="3" t="s">
        <v>87</v>
      </c>
      <c r="D135" s="12">
        <v>4519337454</v>
      </c>
      <c r="E135" s="13" t="s">
        <v>88</v>
      </c>
      <c r="F135" s="15" t="str">
        <f t="shared" si="4"/>
        <v>P451933745401</v>
      </c>
      <c r="G135" s="15"/>
      <c r="H135" s="3" t="s">
        <v>89</v>
      </c>
      <c r="I135" s="14" t="s">
        <v>90</v>
      </c>
      <c r="J135" s="14" t="s">
        <v>62</v>
      </c>
    </row>
    <row r="136" spans="1:11" x14ac:dyDescent="0.25">
      <c r="A136" s="9">
        <v>0</v>
      </c>
      <c r="B136" s="3" t="s">
        <v>91</v>
      </c>
      <c r="C136" s="3" t="s">
        <v>87</v>
      </c>
      <c r="D136" s="12">
        <v>4519337454</v>
      </c>
      <c r="E136" s="13" t="s">
        <v>92</v>
      </c>
      <c r="F136" s="15" t="str">
        <f t="shared" si="4"/>
        <v>P451933745402</v>
      </c>
      <c r="G136" s="15"/>
      <c r="H136" s="3" t="s">
        <v>89</v>
      </c>
      <c r="I136" s="14" t="s">
        <v>90</v>
      </c>
      <c r="J136" s="14" t="s">
        <v>62</v>
      </c>
    </row>
    <row r="137" spans="1:11" x14ac:dyDescent="0.25">
      <c r="A137" s="9">
        <v>0</v>
      </c>
      <c r="B137" s="3" t="s">
        <v>93</v>
      </c>
      <c r="C137" s="3" t="s">
        <v>87</v>
      </c>
      <c r="D137" s="12">
        <v>4519337454</v>
      </c>
      <c r="E137" s="13" t="s">
        <v>94</v>
      </c>
      <c r="F137" s="15" t="str">
        <f t="shared" si="4"/>
        <v>P451933745403</v>
      </c>
      <c r="G137" s="15"/>
      <c r="H137" s="3" t="s">
        <v>89</v>
      </c>
      <c r="I137" s="14" t="s">
        <v>90</v>
      </c>
      <c r="J137" s="14" t="s">
        <v>62</v>
      </c>
    </row>
    <row r="138" spans="1:11" x14ac:dyDescent="0.25">
      <c r="A138" s="9">
        <v>0</v>
      </c>
      <c r="B138" s="3" t="s">
        <v>506</v>
      </c>
      <c r="C138" s="3" t="s">
        <v>87</v>
      </c>
      <c r="D138" s="12">
        <v>4511444158</v>
      </c>
      <c r="E138" s="13" t="s">
        <v>88</v>
      </c>
      <c r="F138" s="15" t="str">
        <f t="shared" si="4"/>
        <v>P451144415801</v>
      </c>
      <c r="G138" s="15"/>
      <c r="H138" s="3" t="s">
        <v>465</v>
      </c>
      <c r="I138" s="14" t="s">
        <v>503</v>
      </c>
      <c r="J138" s="14" t="s">
        <v>51</v>
      </c>
      <c r="K138" s="3" t="s">
        <v>300</v>
      </c>
    </row>
    <row r="139" spans="1:11" x14ac:dyDescent="0.25">
      <c r="A139" s="9">
        <v>0</v>
      </c>
      <c r="B139" s="3" t="s">
        <v>507</v>
      </c>
      <c r="C139" s="3" t="s">
        <v>87</v>
      </c>
      <c r="D139" s="12">
        <v>4511444158</v>
      </c>
      <c r="E139" s="13" t="s">
        <v>92</v>
      </c>
      <c r="F139" s="15" t="str">
        <f t="shared" si="4"/>
        <v>P451144415802</v>
      </c>
      <c r="G139" s="15"/>
      <c r="H139" s="3" t="s">
        <v>465</v>
      </c>
      <c r="I139" s="14" t="s">
        <v>503</v>
      </c>
      <c r="J139" s="14" t="s">
        <v>51</v>
      </c>
      <c r="K139" s="3" t="s">
        <v>300</v>
      </c>
    </row>
    <row r="140" spans="1:11" x14ac:dyDescent="0.25">
      <c r="A140" s="9">
        <v>0</v>
      </c>
      <c r="B140" s="3" t="s">
        <v>508</v>
      </c>
      <c r="C140" s="3" t="s">
        <v>87</v>
      </c>
      <c r="D140" s="12">
        <v>4511444158</v>
      </c>
      <c r="E140" s="13" t="s">
        <v>94</v>
      </c>
      <c r="F140" s="15" t="str">
        <f t="shared" si="4"/>
        <v>P451144415803</v>
      </c>
      <c r="G140" s="15"/>
      <c r="H140" s="3" t="s">
        <v>465</v>
      </c>
      <c r="I140" s="14" t="s">
        <v>503</v>
      </c>
      <c r="J140" s="14" t="s">
        <v>51</v>
      </c>
      <c r="K140" s="3" t="s">
        <v>300</v>
      </c>
    </row>
    <row r="141" spans="1:11" x14ac:dyDescent="0.25">
      <c r="A141" s="9">
        <v>0</v>
      </c>
      <c r="B141" s="3" t="s">
        <v>509</v>
      </c>
      <c r="C141" s="3" t="s">
        <v>87</v>
      </c>
      <c r="D141" s="12">
        <v>4511444158</v>
      </c>
      <c r="E141" s="13" t="s">
        <v>101</v>
      </c>
      <c r="F141" s="15" t="str">
        <f t="shared" si="4"/>
        <v>P451144415804</v>
      </c>
      <c r="G141" s="15"/>
      <c r="H141" s="3" t="s">
        <v>465</v>
      </c>
      <c r="I141" s="14" t="s">
        <v>503</v>
      </c>
      <c r="J141" s="14" t="s">
        <v>51</v>
      </c>
      <c r="K141" s="3" t="s">
        <v>300</v>
      </c>
    </row>
    <row r="142" spans="1:11" x14ac:dyDescent="0.25">
      <c r="A142" s="9">
        <v>0</v>
      </c>
      <c r="B142" s="3" t="s">
        <v>166</v>
      </c>
      <c r="C142" s="3" t="s">
        <v>167</v>
      </c>
      <c r="D142" s="12">
        <v>4462125192</v>
      </c>
      <c r="E142" s="13" t="s">
        <v>88</v>
      </c>
      <c r="F142" s="15" t="str">
        <f t="shared" si="4"/>
        <v>K446212519201</v>
      </c>
      <c r="G142" s="15"/>
      <c r="H142" s="3" t="s">
        <v>89</v>
      </c>
      <c r="I142" s="14" t="s">
        <v>168</v>
      </c>
      <c r="J142" s="14" t="s">
        <v>51</v>
      </c>
      <c r="K142" s="3" t="s">
        <v>300</v>
      </c>
    </row>
    <row r="143" spans="1:11" x14ac:dyDescent="0.25">
      <c r="A143" s="9">
        <v>0</v>
      </c>
      <c r="B143" s="3" t="s">
        <v>234</v>
      </c>
      <c r="C143" s="3" t="s">
        <v>228</v>
      </c>
      <c r="D143" s="12">
        <v>4458186415</v>
      </c>
      <c r="E143" s="13" t="s">
        <v>88</v>
      </c>
      <c r="F143" s="15" t="str">
        <f t="shared" si="4"/>
        <v>D445818641501</v>
      </c>
      <c r="G143" s="15"/>
      <c r="H143" s="3" t="s">
        <v>89</v>
      </c>
      <c r="I143" s="3" t="s">
        <v>235</v>
      </c>
      <c r="J143" s="14" t="s">
        <v>51</v>
      </c>
    </row>
    <row r="144" spans="1:11" x14ac:dyDescent="0.25">
      <c r="A144" s="9">
        <v>0</v>
      </c>
      <c r="B144" s="3" t="s">
        <v>221</v>
      </c>
      <c r="C144" s="3" t="s">
        <v>219</v>
      </c>
      <c r="D144" s="12">
        <v>4442979804</v>
      </c>
      <c r="E144" s="13" t="s">
        <v>88</v>
      </c>
      <c r="F144" s="15" t="str">
        <f t="shared" si="4"/>
        <v>T444297980401</v>
      </c>
      <c r="G144" s="15"/>
      <c r="H144" s="3" t="s">
        <v>89</v>
      </c>
      <c r="I144" s="3" t="s">
        <v>222</v>
      </c>
      <c r="J144" s="14" t="s">
        <v>62</v>
      </c>
    </row>
    <row r="145" spans="1:11" x14ac:dyDescent="0.25">
      <c r="A145" s="9">
        <v>0</v>
      </c>
      <c r="B145" s="3" t="s">
        <v>234</v>
      </c>
      <c r="C145" s="3" t="s">
        <v>228</v>
      </c>
      <c r="D145" s="12">
        <v>4330321077</v>
      </c>
      <c r="E145" s="13" t="s">
        <v>88</v>
      </c>
      <c r="F145" s="15" t="str">
        <f t="shared" si="4"/>
        <v>D433032107701</v>
      </c>
      <c r="G145" s="15"/>
      <c r="H145" s="3" t="s">
        <v>89</v>
      </c>
      <c r="I145" s="3" t="s">
        <v>254</v>
      </c>
      <c r="J145" s="14" t="s">
        <v>51</v>
      </c>
    </row>
    <row r="146" spans="1:11" x14ac:dyDescent="0.25">
      <c r="A146" s="9">
        <v>0</v>
      </c>
      <c r="B146" s="3" t="s">
        <v>513</v>
      </c>
      <c r="C146" s="3" t="s">
        <v>87</v>
      </c>
      <c r="D146" s="12">
        <v>4251112563</v>
      </c>
      <c r="E146" s="13" t="s">
        <v>88</v>
      </c>
      <c r="F146" s="15" t="str">
        <f t="shared" si="4"/>
        <v>P425111256301</v>
      </c>
      <c r="G146" s="15"/>
      <c r="H146" s="3" t="s">
        <v>465</v>
      </c>
      <c r="I146" s="14" t="s">
        <v>514</v>
      </c>
      <c r="J146" s="14" t="s">
        <v>51</v>
      </c>
    </row>
    <row r="147" spans="1:11" x14ac:dyDescent="0.25">
      <c r="A147" s="9">
        <v>0</v>
      </c>
      <c r="B147" s="3" t="s">
        <v>196</v>
      </c>
      <c r="C147" s="3" t="s">
        <v>87</v>
      </c>
      <c r="D147" s="12">
        <v>4180747265</v>
      </c>
      <c r="E147" s="13" t="s">
        <v>88</v>
      </c>
      <c r="F147" s="15" t="str">
        <f t="shared" si="4"/>
        <v>P418074726501</v>
      </c>
      <c r="G147" s="15"/>
      <c r="H147" s="3" t="s">
        <v>89</v>
      </c>
      <c r="I147" s="14" t="s">
        <v>197</v>
      </c>
      <c r="J147" s="14" t="s">
        <v>51</v>
      </c>
    </row>
    <row r="148" spans="1:11" x14ac:dyDescent="0.25">
      <c r="A148" s="9">
        <v>0</v>
      </c>
      <c r="B148" s="3" t="s">
        <v>180</v>
      </c>
      <c r="C148" s="3" t="s">
        <v>100</v>
      </c>
      <c r="D148" s="12">
        <v>4081901863</v>
      </c>
      <c r="E148" s="13" t="s">
        <v>88</v>
      </c>
      <c r="F148" s="15" t="str">
        <f t="shared" si="4"/>
        <v>A408190186301</v>
      </c>
      <c r="G148" s="15"/>
      <c r="H148" s="3" t="s">
        <v>89</v>
      </c>
      <c r="I148" s="14" t="s">
        <v>181</v>
      </c>
      <c r="J148" s="14" t="s">
        <v>51</v>
      </c>
    </row>
    <row r="149" spans="1:11" x14ac:dyDescent="0.25">
      <c r="A149" s="9">
        <v>0</v>
      </c>
      <c r="B149" s="3" t="s">
        <v>536</v>
      </c>
      <c r="C149" s="3" t="s">
        <v>100</v>
      </c>
      <c r="D149" s="12">
        <v>4052947769</v>
      </c>
      <c r="E149" s="13" t="s">
        <v>88</v>
      </c>
      <c r="F149" s="15" t="str">
        <f t="shared" si="4"/>
        <v>A405294776901</v>
      </c>
      <c r="G149" s="15"/>
      <c r="H149" s="3" t="s">
        <v>537</v>
      </c>
      <c r="I149" s="3" t="s">
        <v>217</v>
      </c>
      <c r="J149" s="14" t="s">
        <v>51</v>
      </c>
    </row>
    <row r="150" spans="1:11" x14ac:dyDescent="0.25">
      <c r="A150" s="9">
        <v>0</v>
      </c>
      <c r="B150" s="3" t="s">
        <v>198</v>
      </c>
      <c r="C150" s="3" t="s">
        <v>100</v>
      </c>
      <c r="D150" s="12">
        <v>3994828438</v>
      </c>
      <c r="E150" s="13" t="s">
        <v>88</v>
      </c>
      <c r="F150" s="15" t="str">
        <f t="shared" si="4"/>
        <v>A399482843801</v>
      </c>
      <c r="G150" s="15"/>
      <c r="H150" s="3" t="s">
        <v>89</v>
      </c>
      <c r="I150" s="14" t="s">
        <v>199</v>
      </c>
      <c r="J150" s="14" t="s">
        <v>62</v>
      </c>
    </row>
    <row r="151" spans="1:11" x14ac:dyDescent="0.25">
      <c r="A151" s="9">
        <v>0</v>
      </c>
      <c r="B151" s="3" t="s">
        <v>410</v>
      </c>
      <c r="C151" s="3" t="s">
        <v>219</v>
      </c>
      <c r="D151" s="12">
        <v>3911395691</v>
      </c>
      <c r="E151" s="13" t="s">
        <v>88</v>
      </c>
      <c r="F151" s="15" t="str">
        <f t="shared" si="4"/>
        <v>T391139569101</v>
      </c>
      <c r="G151" s="15"/>
      <c r="H151" s="3" t="s">
        <v>410</v>
      </c>
      <c r="I151" s="3" t="s">
        <v>544</v>
      </c>
      <c r="J151" s="14" t="s">
        <v>51</v>
      </c>
    </row>
    <row r="152" spans="1:11" x14ac:dyDescent="0.25">
      <c r="A152" s="9">
        <v>0</v>
      </c>
      <c r="B152" s="3" t="s">
        <v>276</v>
      </c>
      <c r="C152" s="3" t="s">
        <v>100</v>
      </c>
      <c r="D152" s="12">
        <v>3737681631</v>
      </c>
      <c r="E152" s="13" t="s">
        <v>88</v>
      </c>
      <c r="F152" s="15" t="str">
        <f t="shared" si="4"/>
        <v>A373768163101</v>
      </c>
      <c r="G152" s="15"/>
      <c r="H152" s="3" t="s">
        <v>269</v>
      </c>
      <c r="I152" s="3" t="s">
        <v>277</v>
      </c>
      <c r="J152" s="14" t="s">
        <v>51</v>
      </c>
    </row>
    <row r="153" spans="1:11" x14ac:dyDescent="0.25">
      <c r="A153" s="9">
        <v>0</v>
      </c>
      <c r="B153" s="3" t="s">
        <v>428</v>
      </c>
      <c r="C153" s="3" t="s">
        <v>425</v>
      </c>
      <c r="D153" s="12">
        <v>3711698236</v>
      </c>
      <c r="E153" s="13" t="s">
        <v>88</v>
      </c>
      <c r="F153" s="15" t="str">
        <f t="shared" si="4"/>
        <v>S371169823601</v>
      </c>
      <c r="G153" s="15"/>
      <c r="H153" s="3" t="s">
        <v>429</v>
      </c>
      <c r="I153" s="3" t="s">
        <v>430</v>
      </c>
      <c r="J153" s="14" t="s">
        <v>51</v>
      </c>
    </row>
    <row r="154" spans="1:11" x14ac:dyDescent="0.25">
      <c r="A154" s="9">
        <v>0</v>
      </c>
      <c r="B154" s="3" t="s">
        <v>431</v>
      </c>
      <c r="C154" s="3" t="s">
        <v>87</v>
      </c>
      <c r="D154" s="12">
        <v>3692172026</v>
      </c>
      <c r="E154" s="13" t="s">
        <v>88</v>
      </c>
      <c r="F154" s="15" t="str">
        <f t="shared" si="4"/>
        <v>P369217202601</v>
      </c>
      <c r="G154" s="15"/>
      <c r="H154" s="3" t="s">
        <v>160</v>
      </c>
      <c r="J154" s="14" t="s">
        <v>62</v>
      </c>
    </row>
    <row r="155" spans="1:11" x14ac:dyDescent="0.25">
      <c r="A155" s="9">
        <v>0</v>
      </c>
      <c r="B155" s="3" t="s">
        <v>435</v>
      </c>
      <c r="C155" s="3" t="s">
        <v>87</v>
      </c>
      <c r="D155" s="12">
        <v>3678360103</v>
      </c>
      <c r="E155" s="13" t="s">
        <v>88</v>
      </c>
      <c r="F155" s="15" t="str">
        <f t="shared" si="4"/>
        <v>P367836010301</v>
      </c>
      <c r="G155" s="15"/>
      <c r="H155" s="3" t="s">
        <v>433</v>
      </c>
      <c r="J155" s="14" t="s">
        <v>62</v>
      </c>
    </row>
    <row r="156" spans="1:11" x14ac:dyDescent="0.25">
      <c r="A156" s="9">
        <v>0</v>
      </c>
      <c r="B156" s="3" t="s">
        <v>184</v>
      </c>
      <c r="C156" s="3" t="s">
        <v>100</v>
      </c>
      <c r="D156" s="12">
        <v>3668717110</v>
      </c>
      <c r="E156" s="13" t="s">
        <v>88</v>
      </c>
      <c r="F156" s="15" t="str">
        <f t="shared" si="4"/>
        <v>A366871711001</v>
      </c>
      <c r="G156" s="15"/>
      <c r="H156" s="3" t="s">
        <v>89</v>
      </c>
      <c r="I156" s="14" t="s">
        <v>185</v>
      </c>
      <c r="J156" s="14" t="s">
        <v>62</v>
      </c>
    </row>
    <row r="157" spans="1:11" x14ac:dyDescent="0.25">
      <c r="A157" s="9">
        <v>0</v>
      </c>
      <c r="B157" s="3" t="s">
        <v>218</v>
      </c>
      <c r="C157" s="3" t="s">
        <v>219</v>
      </c>
      <c r="D157" s="12">
        <v>3617188744</v>
      </c>
      <c r="E157" s="13" t="s">
        <v>88</v>
      </c>
      <c r="F157" s="15" t="str">
        <f t="shared" si="4"/>
        <v>T361718874401</v>
      </c>
      <c r="G157" s="15"/>
      <c r="H157" s="3" t="s">
        <v>89</v>
      </c>
      <c r="I157" s="3" t="s">
        <v>220</v>
      </c>
      <c r="J157" s="14" t="s">
        <v>51</v>
      </c>
    </row>
    <row r="158" spans="1:11" x14ac:dyDescent="0.25">
      <c r="A158" s="9">
        <v>0</v>
      </c>
      <c r="B158" s="3" t="s">
        <v>105</v>
      </c>
      <c r="C158" s="3" t="s">
        <v>87</v>
      </c>
      <c r="D158" s="12">
        <v>3461995678</v>
      </c>
      <c r="E158" s="13" t="s">
        <v>88</v>
      </c>
      <c r="F158" s="15" t="str">
        <f t="shared" si="4"/>
        <v>P346199567801</v>
      </c>
      <c r="G158" s="15"/>
      <c r="H158" s="3" t="s">
        <v>89</v>
      </c>
      <c r="I158" s="14" t="s">
        <v>106</v>
      </c>
      <c r="J158" s="14" t="s">
        <v>51</v>
      </c>
      <c r="K158" s="3" t="s">
        <v>278</v>
      </c>
    </row>
    <row r="159" spans="1:11" x14ac:dyDescent="0.25">
      <c r="A159" s="9">
        <v>0</v>
      </c>
      <c r="B159" s="3" t="s">
        <v>107</v>
      </c>
      <c r="C159" s="3" t="s">
        <v>87</v>
      </c>
      <c r="D159" s="12">
        <v>3461995678</v>
      </c>
      <c r="E159" s="13" t="s">
        <v>92</v>
      </c>
      <c r="F159" s="15" t="str">
        <f t="shared" si="4"/>
        <v>P346199567802</v>
      </c>
      <c r="G159" s="15"/>
      <c r="H159" s="3" t="s">
        <v>89</v>
      </c>
      <c r="I159" s="14" t="s">
        <v>106</v>
      </c>
      <c r="J159" s="14" t="s">
        <v>51</v>
      </c>
    </row>
    <row r="160" spans="1:11" x14ac:dyDescent="0.25">
      <c r="A160" s="9">
        <v>0</v>
      </c>
      <c r="B160" s="3" t="s">
        <v>108</v>
      </c>
      <c r="C160" s="3" t="s">
        <v>87</v>
      </c>
      <c r="D160" s="12">
        <v>3461995678</v>
      </c>
      <c r="E160" s="13" t="s">
        <v>94</v>
      </c>
      <c r="F160" s="15" t="str">
        <f t="shared" si="4"/>
        <v>P346199567803</v>
      </c>
      <c r="G160" s="15"/>
      <c r="H160" s="3" t="s">
        <v>89</v>
      </c>
      <c r="I160" s="14" t="s">
        <v>106</v>
      </c>
      <c r="J160" s="14" t="s">
        <v>51</v>
      </c>
    </row>
    <row r="161" spans="1:10" x14ac:dyDescent="0.25">
      <c r="A161" s="9">
        <v>0</v>
      </c>
      <c r="B161" s="3" t="s">
        <v>109</v>
      </c>
      <c r="C161" s="3" t="s">
        <v>87</v>
      </c>
      <c r="D161" s="12">
        <v>3461995678</v>
      </c>
      <c r="E161" s="13" t="s">
        <v>101</v>
      </c>
      <c r="F161" s="15" t="str">
        <f t="shared" si="4"/>
        <v>P346199567804</v>
      </c>
      <c r="G161" s="15"/>
      <c r="H161" s="3" t="s">
        <v>89</v>
      </c>
      <c r="I161" s="14" t="s">
        <v>106</v>
      </c>
      <c r="J161" s="14" t="s">
        <v>51</v>
      </c>
    </row>
    <row r="162" spans="1:10" x14ac:dyDescent="0.25">
      <c r="A162" s="9">
        <v>0</v>
      </c>
      <c r="B162" s="3" t="s">
        <v>110</v>
      </c>
      <c r="C162" s="3" t="s">
        <v>87</v>
      </c>
      <c r="D162" s="12">
        <v>3461995678</v>
      </c>
      <c r="E162" s="13" t="s">
        <v>102</v>
      </c>
      <c r="F162" s="15" t="str">
        <f t="shared" si="4"/>
        <v>P346199567805</v>
      </c>
      <c r="G162" s="15"/>
      <c r="H162" s="3" t="s">
        <v>89</v>
      </c>
      <c r="I162" s="14" t="s">
        <v>106</v>
      </c>
      <c r="J162" s="14" t="s">
        <v>51</v>
      </c>
    </row>
    <row r="163" spans="1:10" x14ac:dyDescent="0.25">
      <c r="A163" s="9">
        <v>0</v>
      </c>
      <c r="B163" s="3" t="s">
        <v>245</v>
      </c>
      <c r="C163" s="3" t="s">
        <v>228</v>
      </c>
      <c r="D163" s="12">
        <v>3416747467</v>
      </c>
      <c r="E163" s="13" t="s">
        <v>88</v>
      </c>
      <c r="F163" s="15" t="str">
        <f t="shared" ref="F163:F194" si="5">CONCATENATE(C163,D163,RIGHT(LEFT(E163,3),2))</f>
        <v>D341674746701</v>
      </c>
      <c r="G163" s="15"/>
      <c r="H163" s="3" t="s">
        <v>89</v>
      </c>
      <c r="I163" s="3" t="s">
        <v>267</v>
      </c>
      <c r="J163" s="14" t="s">
        <v>51</v>
      </c>
    </row>
    <row r="164" spans="1:10" x14ac:dyDescent="0.25">
      <c r="A164" s="9">
        <v>0</v>
      </c>
      <c r="B164" s="3" t="s">
        <v>489</v>
      </c>
      <c r="C164" s="3" t="s">
        <v>100</v>
      </c>
      <c r="D164" s="12">
        <v>3397888457</v>
      </c>
      <c r="E164" s="13" t="s">
        <v>88</v>
      </c>
      <c r="F164" s="15" t="str">
        <f t="shared" si="5"/>
        <v>A339788845701</v>
      </c>
      <c r="G164" s="15"/>
      <c r="H164" s="3" t="s">
        <v>465</v>
      </c>
      <c r="I164" s="14" t="s">
        <v>490</v>
      </c>
      <c r="J164" s="14" t="s">
        <v>51</v>
      </c>
    </row>
    <row r="165" spans="1:10" x14ac:dyDescent="0.25">
      <c r="A165" s="9">
        <v>0</v>
      </c>
      <c r="B165" s="3" t="s">
        <v>138</v>
      </c>
      <c r="C165" s="3" t="s">
        <v>87</v>
      </c>
      <c r="D165" s="12">
        <v>3346195677</v>
      </c>
      <c r="E165" s="13" t="s">
        <v>88</v>
      </c>
      <c r="F165" s="15" t="str">
        <f t="shared" si="5"/>
        <v>P334619567701</v>
      </c>
      <c r="G165" s="15"/>
      <c r="H165" s="3" t="s">
        <v>89</v>
      </c>
      <c r="I165" s="14" t="s">
        <v>139</v>
      </c>
      <c r="J165" s="14" t="s">
        <v>51</v>
      </c>
    </row>
    <row r="166" spans="1:10" x14ac:dyDescent="0.25">
      <c r="A166" s="9">
        <v>0</v>
      </c>
      <c r="B166" s="3" t="s">
        <v>140</v>
      </c>
      <c r="C166" s="3" t="s">
        <v>87</v>
      </c>
      <c r="D166" s="12">
        <v>3346195677</v>
      </c>
      <c r="E166" s="13" t="s">
        <v>92</v>
      </c>
      <c r="F166" s="15" t="str">
        <f t="shared" si="5"/>
        <v>P334619567702</v>
      </c>
      <c r="G166" s="15"/>
      <c r="H166" s="3" t="s">
        <v>89</v>
      </c>
      <c r="I166" s="14" t="s">
        <v>139</v>
      </c>
      <c r="J166" s="14" t="s">
        <v>51</v>
      </c>
    </row>
    <row r="167" spans="1:10" x14ac:dyDescent="0.25">
      <c r="A167" s="9">
        <v>0</v>
      </c>
      <c r="B167" s="3" t="s">
        <v>200</v>
      </c>
      <c r="C167" s="3" t="s">
        <v>100</v>
      </c>
      <c r="D167" s="12">
        <v>2848461731</v>
      </c>
      <c r="E167" s="13" t="s">
        <v>88</v>
      </c>
      <c r="F167" s="15" t="str">
        <f t="shared" si="5"/>
        <v>A284846173101</v>
      </c>
      <c r="G167" s="15"/>
      <c r="H167" s="3" t="s">
        <v>89</v>
      </c>
      <c r="I167" s="14" t="s">
        <v>201</v>
      </c>
      <c r="J167" s="14" t="s">
        <v>51</v>
      </c>
    </row>
    <row r="168" spans="1:10" x14ac:dyDescent="0.25">
      <c r="A168" s="9">
        <v>0</v>
      </c>
      <c r="B168" s="3" t="s">
        <v>274</v>
      </c>
      <c r="C168" s="3" t="s">
        <v>100</v>
      </c>
      <c r="D168" s="12">
        <v>2717155046</v>
      </c>
      <c r="E168" s="13" t="s">
        <v>88</v>
      </c>
      <c r="F168" s="15" t="str">
        <f t="shared" si="5"/>
        <v>A271715504601</v>
      </c>
      <c r="G168" s="15"/>
      <c r="H168" s="3" t="s">
        <v>269</v>
      </c>
      <c r="I168" s="3" t="s">
        <v>275</v>
      </c>
      <c r="J168" s="14" t="s">
        <v>51</v>
      </c>
    </row>
    <row r="169" spans="1:10" x14ac:dyDescent="0.25">
      <c r="A169" s="9">
        <v>0</v>
      </c>
      <c r="B169" s="3" t="s">
        <v>283</v>
      </c>
      <c r="C169" s="3" t="s">
        <v>100</v>
      </c>
      <c r="D169" s="12">
        <v>2711652689</v>
      </c>
      <c r="E169" s="13" t="s">
        <v>88</v>
      </c>
      <c r="F169" s="15" t="str">
        <f t="shared" si="5"/>
        <v>A271165268901</v>
      </c>
      <c r="G169" s="15"/>
      <c r="H169" s="3" t="s">
        <v>269</v>
      </c>
      <c r="I169" s="3" t="s">
        <v>285</v>
      </c>
      <c r="J169" s="14" t="s">
        <v>51</v>
      </c>
    </row>
    <row r="170" spans="1:10" x14ac:dyDescent="0.25">
      <c r="A170" s="9">
        <v>0</v>
      </c>
      <c r="B170" s="3" t="s">
        <v>239</v>
      </c>
      <c r="C170" s="3" t="s">
        <v>228</v>
      </c>
      <c r="D170" s="12">
        <v>2688510999</v>
      </c>
      <c r="E170" s="13" t="s">
        <v>88</v>
      </c>
      <c r="F170" s="15" t="str">
        <f t="shared" si="5"/>
        <v>D268851099901</v>
      </c>
      <c r="G170" s="15"/>
      <c r="H170" s="3" t="s">
        <v>89</v>
      </c>
      <c r="I170" s="3" t="s">
        <v>240</v>
      </c>
      <c r="J170" s="14" t="s">
        <v>51</v>
      </c>
    </row>
    <row r="171" spans="1:10" x14ac:dyDescent="0.25">
      <c r="A171" s="9">
        <v>0</v>
      </c>
      <c r="B171" s="3" t="s">
        <v>404</v>
      </c>
      <c r="C171" s="3" t="s">
        <v>100</v>
      </c>
      <c r="D171" s="12">
        <v>2566004236</v>
      </c>
      <c r="E171" s="13" t="s">
        <v>88</v>
      </c>
      <c r="F171" s="15" t="str">
        <f t="shared" si="5"/>
        <v>A256600423601</v>
      </c>
      <c r="G171" s="15"/>
      <c r="H171" s="3" t="s">
        <v>405</v>
      </c>
      <c r="I171" s="3" t="s">
        <v>217</v>
      </c>
      <c r="J171" s="14" t="s">
        <v>51</v>
      </c>
    </row>
    <row r="172" spans="1:10" x14ac:dyDescent="0.25">
      <c r="A172" s="9">
        <v>0</v>
      </c>
      <c r="B172" s="3" t="s">
        <v>532</v>
      </c>
      <c r="C172" s="3" t="s">
        <v>97</v>
      </c>
      <c r="D172" s="12">
        <v>2388007283</v>
      </c>
      <c r="E172" s="13" t="s">
        <v>88</v>
      </c>
      <c r="F172" s="15" t="str">
        <f t="shared" si="5"/>
        <v>L238800728301</v>
      </c>
      <c r="G172" s="15"/>
      <c r="H172" s="3" t="s">
        <v>531</v>
      </c>
      <c r="I172" s="14" t="s">
        <v>533</v>
      </c>
      <c r="J172" s="14" t="s">
        <v>51</v>
      </c>
    </row>
    <row r="173" spans="1:10" x14ac:dyDescent="0.25">
      <c r="A173" s="9">
        <v>0</v>
      </c>
      <c r="B173" s="3" t="s">
        <v>206</v>
      </c>
      <c r="C173" s="3" t="s">
        <v>87</v>
      </c>
      <c r="D173" s="12">
        <v>2289975108</v>
      </c>
      <c r="E173" s="13" t="s">
        <v>88</v>
      </c>
      <c r="F173" s="15" t="str">
        <f t="shared" si="5"/>
        <v>P228997510801</v>
      </c>
      <c r="G173" s="15"/>
      <c r="H173" s="3" t="s">
        <v>89</v>
      </c>
      <c r="J173" s="14" t="s">
        <v>51</v>
      </c>
    </row>
    <row r="174" spans="1:10" x14ac:dyDescent="0.25">
      <c r="A174" s="9">
        <v>0</v>
      </c>
      <c r="B174" s="3" t="s">
        <v>515</v>
      </c>
      <c r="C174" s="3" t="s">
        <v>100</v>
      </c>
      <c r="D174" s="12">
        <v>2235225648</v>
      </c>
      <c r="E174" s="13" t="s">
        <v>88</v>
      </c>
      <c r="F174" s="15" t="str">
        <f t="shared" si="5"/>
        <v>A223522564801</v>
      </c>
      <c r="G174" s="15"/>
      <c r="H174" s="3" t="s">
        <v>465</v>
      </c>
      <c r="I174" s="14" t="s">
        <v>90</v>
      </c>
      <c r="J174" s="14" t="s">
        <v>51</v>
      </c>
    </row>
    <row r="175" spans="1:10" x14ac:dyDescent="0.25">
      <c r="A175" s="9">
        <v>0</v>
      </c>
      <c r="B175" s="3" t="s">
        <v>468</v>
      </c>
      <c r="C175" s="3" t="s">
        <v>87</v>
      </c>
      <c r="D175" s="12">
        <v>2213452691</v>
      </c>
      <c r="E175" s="13" t="s">
        <v>88</v>
      </c>
      <c r="F175" s="15" t="str">
        <f t="shared" si="5"/>
        <v>P221345269101</v>
      </c>
      <c r="G175" s="15"/>
      <c r="H175" s="3" t="s">
        <v>465</v>
      </c>
      <c r="I175" s="14" t="s">
        <v>469</v>
      </c>
      <c r="J175" s="14" t="s">
        <v>51</v>
      </c>
    </row>
    <row r="176" spans="1:10" x14ac:dyDescent="0.25">
      <c r="A176" s="9">
        <v>0</v>
      </c>
      <c r="B176" s="3" t="s">
        <v>470</v>
      </c>
      <c r="C176" s="3" t="s">
        <v>87</v>
      </c>
      <c r="D176" s="12">
        <v>2213452691</v>
      </c>
      <c r="E176" s="13" t="s">
        <v>92</v>
      </c>
      <c r="F176" s="15" t="str">
        <f t="shared" si="5"/>
        <v>P221345269102</v>
      </c>
      <c r="G176" s="15"/>
      <c r="H176" s="3" t="s">
        <v>465</v>
      </c>
      <c r="I176" s="14" t="s">
        <v>469</v>
      </c>
      <c r="J176" s="14" t="s">
        <v>51</v>
      </c>
    </row>
    <row r="177" spans="1:10" x14ac:dyDescent="0.25">
      <c r="A177" s="9">
        <v>0</v>
      </c>
      <c r="B177" s="3" t="s">
        <v>471</v>
      </c>
      <c r="C177" s="3" t="s">
        <v>87</v>
      </c>
      <c r="D177" s="12">
        <v>2213452691</v>
      </c>
      <c r="E177" s="13" t="s">
        <v>94</v>
      </c>
      <c r="F177" s="15" t="str">
        <f t="shared" si="5"/>
        <v>P221345269103</v>
      </c>
      <c r="G177" s="15"/>
      <c r="H177" s="3" t="s">
        <v>465</v>
      </c>
      <c r="I177" s="14" t="s">
        <v>469</v>
      </c>
      <c r="J177" s="14" t="s">
        <v>51</v>
      </c>
    </row>
    <row r="178" spans="1:10" x14ac:dyDescent="0.25">
      <c r="A178" s="9">
        <v>0</v>
      </c>
      <c r="B178" s="3" t="s">
        <v>283</v>
      </c>
      <c r="C178" s="3" t="s">
        <v>100</v>
      </c>
      <c r="D178" s="12">
        <v>2170153317</v>
      </c>
      <c r="E178" s="13" t="s">
        <v>88</v>
      </c>
      <c r="F178" s="15" t="str">
        <f t="shared" si="5"/>
        <v>A217015331701</v>
      </c>
      <c r="G178" s="15"/>
      <c r="H178" s="3" t="s">
        <v>269</v>
      </c>
      <c r="I178" s="3" t="s">
        <v>284</v>
      </c>
      <c r="J178" s="14" t="s">
        <v>51</v>
      </c>
    </row>
    <row r="179" spans="1:10" x14ac:dyDescent="0.25">
      <c r="A179" s="9">
        <v>0</v>
      </c>
      <c r="B179" s="3" t="s">
        <v>424</v>
      </c>
      <c r="C179" s="3" t="s">
        <v>425</v>
      </c>
      <c r="D179" s="12">
        <v>2166811528</v>
      </c>
      <c r="E179" s="13" t="s">
        <v>88</v>
      </c>
      <c r="F179" s="15" t="str">
        <f t="shared" si="5"/>
        <v>S216681152801</v>
      </c>
      <c r="G179" s="15"/>
      <c r="H179" s="3" t="s">
        <v>426</v>
      </c>
      <c r="I179" s="3" t="s">
        <v>427</v>
      </c>
      <c r="J179" s="14" t="s">
        <v>51</v>
      </c>
    </row>
    <row r="180" spans="1:10" x14ac:dyDescent="0.25">
      <c r="A180" s="9">
        <v>0</v>
      </c>
      <c r="B180" s="3" t="s">
        <v>159</v>
      </c>
      <c r="C180" s="3" t="s">
        <v>87</v>
      </c>
      <c r="D180" s="12">
        <v>2048544385</v>
      </c>
      <c r="E180" s="13" t="s">
        <v>88</v>
      </c>
      <c r="F180" s="15" t="str">
        <f t="shared" si="5"/>
        <v>P204854438501</v>
      </c>
      <c r="G180" s="15"/>
      <c r="H180" s="3" t="s">
        <v>89</v>
      </c>
      <c r="I180" s="14" t="s">
        <v>160</v>
      </c>
      <c r="J180" s="14" t="s">
        <v>51</v>
      </c>
    </row>
    <row r="181" spans="1:10" x14ac:dyDescent="0.25">
      <c r="A181" s="9">
        <v>0</v>
      </c>
      <c r="B181" s="3" t="s">
        <v>232</v>
      </c>
      <c r="C181" s="3" t="s">
        <v>228</v>
      </c>
      <c r="D181" s="12">
        <v>2002712282</v>
      </c>
      <c r="E181" s="13" t="s">
        <v>88</v>
      </c>
      <c r="F181" s="15" t="str">
        <f t="shared" si="5"/>
        <v>D200271228201</v>
      </c>
      <c r="G181" s="15"/>
      <c r="H181" s="3" t="s">
        <v>89</v>
      </c>
      <c r="I181" s="3" t="s">
        <v>233</v>
      </c>
      <c r="J181" s="14" t="s">
        <v>51</v>
      </c>
    </row>
    <row r="182" spans="1:10" x14ac:dyDescent="0.25">
      <c r="A182" s="9">
        <v>0</v>
      </c>
      <c r="B182" s="3" t="s">
        <v>130</v>
      </c>
      <c r="C182" s="3" t="s">
        <v>87</v>
      </c>
      <c r="D182" s="12">
        <v>1999463558</v>
      </c>
      <c r="E182" s="13" t="s">
        <v>88</v>
      </c>
      <c r="F182" s="15" t="str">
        <f t="shared" si="5"/>
        <v>P199946355801</v>
      </c>
      <c r="G182" s="15"/>
      <c r="H182" s="3" t="s">
        <v>89</v>
      </c>
      <c r="I182" s="14" t="s">
        <v>131</v>
      </c>
      <c r="J182" s="14" t="s">
        <v>51</v>
      </c>
    </row>
    <row r="183" spans="1:10" x14ac:dyDescent="0.25">
      <c r="A183" s="9">
        <v>0</v>
      </c>
      <c r="B183" s="3" t="s">
        <v>132</v>
      </c>
      <c r="C183" s="3" t="s">
        <v>87</v>
      </c>
      <c r="D183" s="12">
        <v>1999463558</v>
      </c>
      <c r="E183" s="13" t="s">
        <v>92</v>
      </c>
      <c r="F183" s="15" t="str">
        <f t="shared" si="5"/>
        <v>P199946355802</v>
      </c>
      <c r="G183" s="15"/>
      <c r="H183" s="3" t="s">
        <v>89</v>
      </c>
      <c r="I183" s="14" t="s">
        <v>131</v>
      </c>
      <c r="J183" s="14" t="s">
        <v>51</v>
      </c>
    </row>
    <row r="184" spans="1:10" x14ac:dyDescent="0.25">
      <c r="A184" s="9">
        <v>0</v>
      </c>
      <c r="B184" s="3" t="s">
        <v>133</v>
      </c>
      <c r="C184" s="3" t="s">
        <v>87</v>
      </c>
      <c r="D184" s="12">
        <v>1999463558</v>
      </c>
      <c r="E184" s="13" t="s">
        <v>94</v>
      </c>
      <c r="F184" s="15" t="str">
        <f t="shared" si="5"/>
        <v>P199946355803</v>
      </c>
      <c r="G184" s="15"/>
      <c r="H184" s="3" t="s">
        <v>89</v>
      </c>
      <c r="I184" s="14" t="s">
        <v>131</v>
      </c>
      <c r="J184" s="14" t="s">
        <v>51</v>
      </c>
    </row>
    <row r="185" spans="1:10" x14ac:dyDescent="0.25">
      <c r="A185" s="9">
        <v>0</v>
      </c>
      <c r="B185" s="3" t="s">
        <v>194</v>
      </c>
      <c r="C185" s="3" t="s">
        <v>100</v>
      </c>
      <c r="D185" s="12">
        <v>1960727151</v>
      </c>
      <c r="E185" s="13" t="s">
        <v>88</v>
      </c>
      <c r="F185" s="15" t="str">
        <f t="shared" si="5"/>
        <v>A196072715101</v>
      </c>
      <c r="G185" s="15"/>
      <c r="H185" s="3" t="s">
        <v>89</v>
      </c>
      <c r="I185" s="14" t="s">
        <v>195</v>
      </c>
      <c r="J185" s="14" t="s">
        <v>51</v>
      </c>
    </row>
    <row r="186" spans="1:10" x14ac:dyDescent="0.25">
      <c r="A186" s="9">
        <v>0</v>
      </c>
      <c r="B186" s="3" t="s">
        <v>500</v>
      </c>
      <c r="C186" s="3" t="s">
        <v>87</v>
      </c>
      <c r="D186" s="12">
        <v>1865658959</v>
      </c>
      <c r="E186" s="13" t="s">
        <v>88</v>
      </c>
      <c r="F186" s="15" t="str">
        <f t="shared" si="5"/>
        <v>P186565895901</v>
      </c>
      <c r="G186" s="15"/>
      <c r="H186" s="3" t="s">
        <v>465</v>
      </c>
      <c r="I186" s="14" t="s">
        <v>501</v>
      </c>
      <c r="J186" s="14" t="s">
        <v>51</v>
      </c>
    </row>
    <row r="187" spans="1:10" x14ac:dyDescent="0.25">
      <c r="A187" s="9">
        <v>0</v>
      </c>
      <c r="B187" s="3" t="s">
        <v>281</v>
      </c>
      <c r="C187" s="3" t="s">
        <v>100</v>
      </c>
      <c r="D187" s="12">
        <v>1684521052</v>
      </c>
      <c r="E187" s="13" t="s">
        <v>88</v>
      </c>
      <c r="F187" s="15" t="str">
        <f t="shared" si="5"/>
        <v>A168452105201</v>
      </c>
      <c r="G187" s="15"/>
      <c r="H187" s="3" t="s">
        <v>269</v>
      </c>
      <c r="I187" s="3" t="s">
        <v>282</v>
      </c>
      <c r="J187" s="14" t="s">
        <v>51</v>
      </c>
    </row>
    <row r="188" spans="1:10" x14ac:dyDescent="0.25">
      <c r="A188" s="9">
        <v>0</v>
      </c>
      <c r="B188" s="3" t="s">
        <v>294</v>
      </c>
      <c r="C188" s="3" t="s">
        <v>97</v>
      </c>
      <c r="D188" s="12">
        <v>1664267136</v>
      </c>
      <c r="E188" s="13" t="s">
        <v>88</v>
      </c>
      <c r="F188" s="15" t="str">
        <f t="shared" si="5"/>
        <v>L166426713601</v>
      </c>
      <c r="G188" s="15"/>
      <c r="H188" s="3" t="s">
        <v>295</v>
      </c>
      <c r="I188" s="14" t="s">
        <v>152</v>
      </c>
      <c r="J188" s="14" t="s">
        <v>51</v>
      </c>
    </row>
    <row r="189" spans="1:10" x14ac:dyDescent="0.25">
      <c r="A189" s="9">
        <v>0</v>
      </c>
      <c r="B189" s="3" t="s">
        <v>103</v>
      </c>
      <c r="C189" s="3" t="s">
        <v>100</v>
      </c>
      <c r="D189" s="12">
        <v>1569843415</v>
      </c>
      <c r="E189" s="13" t="s">
        <v>88</v>
      </c>
      <c r="F189" s="15" t="str">
        <f t="shared" si="5"/>
        <v>A156984341501</v>
      </c>
      <c r="G189" s="15"/>
      <c r="H189" s="3" t="s">
        <v>89</v>
      </c>
      <c r="I189" s="14" t="s">
        <v>104</v>
      </c>
      <c r="J189" s="14" t="s">
        <v>51</v>
      </c>
    </row>
    <row r="190" spans="1:10" x14ac:dyDescent="0.25">
      <c r="A190" s="9">
        <v>0</v>
      </c>
      <c r="B190" s="3" t="s">
        <v>494</v>
      </c>
      <c r="C190" s="3" t="s">
        <v>87</v>
      </c>
      <c r="D190" s="12">
        <v>1543778491</v>
      </c>
      <c r="E190" s="13" t="s">
        <v>88</v>
      </c>
      <c r="F190" s="15" t="str">
        <f t="shared" si="5"/>
        <v>P154377849101</v>
      </c>
      <c r="G190" s="15"/>
      <c r="H190" s="3" t="s">
        <v>465</v>
      </c>
      <c r="I190" s="14" t="s">
        <v>495</v>
      </c>
      <c r="J190" s="14" t="s">
        <v>51</v>
      </c>
    </row>
    <row r="191" spans="1:10" x14ac:dyDescent="0.25">
      <c r="A191" s="9">
        <v>0</v>
      </c>
      <c r="B191" s="3" t="s">
        <v>496</v>
      </c>
      <c r="C191" s="3" t="s">
        <v>87</v>
      </c>
      <c r="D191" s="12">
        <v>1543778491</v>
      </c>
      <c r="E191" s="13" t="s">
        <v>92</v>
      </c>
      <c r="F191" s="15" t="str">
        <f t="shared" si="5"/>
        <v>P154377849102</v>
      </c>
      <c r="G191" s="15"/>
      <c r="H191" s="3" t="s">
        <v>465</v>
      </c>
      <c r="I191" s="14" t="s">
        <v>495</v>
      </c>
      <c r="J191" s="14" t="s">
        <v>51</v>
      </c>
    </row>
    <row r="192" spans="1:10" x14ac:dyDescent="0.25">
      <c r="A192" s="9">
        <v>0</v>
      </c>
      <c r="B192" s="3" t="s">
        <v>548</v>
      </c>
      <c r="C192" s="3" t="s">
        <v>425</v>
      </c>
      <c r="D192" s="12">
        <v>1353719469</v>
      </c>
      <c r="E192" s="13" t="s">
        <v>88</v>
      </c>
      <c r="F192" s="15" t="str">
        <f t="shared" si="5"/>
        <v>S135371946901</v>
      </c>
      <c r="G192" s="15"/>
      <c r="H192" s="3" t="s">
        <v>549</v>
      </c>
      <c r="I192" s="3" t="s">
        <v>550</v>
      </c>
      <c r="J192" s="14" t="s">
        <v>51</v>
      </c>
    </row>
    <row r="193" spans="1:10" x14ac:dyDescent="0.25">
      <c r="A193" s="9">
        <v>0</v>
      </c>
      <c r="B193" s="3" t="s">
        <v>466</v>
      </c>
      <c r="C193" s="3" t="s">
        <v>87</v>
      </c>
      <c r="D193" s="12">
        <v>1264352948</v>
      </c>
      <c r="E193" s="13" t="s">
        <v>88</v>
      </c>
      <c r="F193" s="15" t="str">
        <f t="shared" si="5"/>
        <v>P126435294801</v>
      </c>
      <c r="G193" s="15"/>
      <c r="H193" s="3" t="s">
        <v>465</v>
      </c>
      <c r="I193" s="14" t="s">
        <v>467</v>
      </c>
      <c r="J193" s="14" t="s">
        <v>51</v>
      </c>
    </row>
    <row r="194" spans="1:10" x14ac:dyDescent="0.25">
      <c r="A194" s="9">
        <v>0</v>
      </c>
      <c r="B194" s="3" t="s">
        <v>486</v>
      </c>
      <c r="C194" s="3" t="s">
        <v>87</v>
      </c>
      <c r="D194" s="12">
        <v>1114679453</v>
      </c>
      <c r="E194" s="13" t="s">
        <v>88</v>
      </c>
      <c r="F194" s="15" t="str">
        <f t="shared" si="5"/>
        <v>P111467945301</v>
      </c>
      <c r="G194" s="15"/>
      <c r="H194" s="3" t="s">
        <v>465</v>
      </c>
      <c r="I194" s="14" t="s">
        <v>126</v>
      </c>
      <c r="J194" s="14" t="s">
        <v>51</v>
      </c>
    </row>
    <row r="195" spans="1:10" x14ac:dyDescent="0.25">
      <c r="A195" s="9">
        <v>0</v>
      </c>
      <c r="B195" s="3" t="s">
        <v>487</v>
      </c>
      <c r="C195" s="3" t="s">
        <v>87</v>
      </c>
      <c r="D195" s="12">
        <v>1114679453</v>
      </c>
      <c r="E195" s="13" t="s">
        <v>92</v>
      </c>
      <c r="F195" s="15" t="str">
        <f t="shared" ref="F195:F197" si="6">CONCATENATE(C195,D195,RIGHT(LEFT(E195,3),2))</f>
        <v>P111467945302</v>
      </c>
      <c r="G195" s="15"/>
      <c r="H195" s="3" t="s">
        <v>465</v>
      </c>
      <c r="I195" s="14" t="s">
        <v>126</v>
      </c>
      <c r="J195" s="14" t="s">
        <v>51</v>
      </c>
    </row>
    <row r="196" spans="1:10" x14ac:dyDescent="0.25">
      <c r="A196" s="9">
        <v>0</v>
      </c>
      <c r="B196" s="3" t="s">
        <v>488</v>
      </c>
      <c r="C196" s="3" t="s">
        <v>87</v>
      </c>
      <c r="D196" s="12">
        <v>1114679453</v>
      </c>
      <c r="E196" s="13" t="s">
        <v>94</v>
      </c>
      <c r="F196" s="15" t="str">
        <f t="shared" si="6"/>
        <v>P111467945303</v>
      </c>
      <c r="G196" s="15"/>
      <c r="H196" s="3" t="s">
        <v>465</v>
      </c>
      <c r="I196" s="14" t="s">
        <v>126</v>
      </c>
      <c r="J196" s="14" t="s">
        <v>51</v>
      </c>
    </row>
    <row r="197" spans="1:10" x14ac:dyDescent="0.25">
      <c r="A197" s="9">
        <v>0</v>
      </c>
      <c r="B197" s="3" t="s">
        <v>526</v>
      </c>
      <c r="C197" s="3" t="s">
        <v>87</v>
      </c>
      <c r="D197" s="12">
        <v>1002530156</v>
      </c>
      <c r="E197" s="13" t="s">
        <v>88</v>
      </c>
      <c r="F197" s="15" t="str">
        <f t="shared" si="6"/>
        <v>P100253015601</v>
      </c>
      <c r="G197" s="15"/>
      <c r="H197" s="3" t="s">
        <v>465</v>
      </c>
      <c r="I197" s="14" t="s">
        <v>514</v>
      </c>
      <c r="J197" s="14" t="s">
        <v>68</v>
      </c>
    </row>
    <row r="198" spans="1:10" s="22" customFormat="1" x14ac:dyDescent="0.25">
      <c r="A198" s="19">
        <v>45505</v>
      </c>
      <c r="B198" s="20" t="s">
        <v>287</v>
      </c>
      <c r="C198" s="20" t="s">
        <v>288</v>
      </c>
      <c r="D198" s="21" t="s">
        <v>288</v>
      </c>
      <c r="E198" s="21" t="s">
        <v>288</v>
      </c>
      <c r="F198" s="20" t="s">
        <v>288</v>
      </c>
      <c r="G198" s="20"/>
      <c r="H198" s="21" t="s">
        <v>288</v>
      </c>
      <c r="I198" s="21" t="s">
        <v>288</v>
      </c>
      <c r="J198" s="21" t="s">
        <v>288</v>
      </c>
    </row>
    <row r="199" spans="1:10" x14ac:dyDescent="0.25">
      <c r="A199" s="9">
        <v>45541.348969907405</v>
      </c>
      <c r="B199" s="3" t="s">
        <v>332</v>
      </c>
      <c r="C199" s="3" t="s">
        <v>50</v>
      </c>
      <c r="D199" s="12">
        <v>9982258</v>
      </c>
      <c r="F199" s="3" t="str">
        <f t="shared" ref="F199:F246" si="7">C199&amp;"-"&amp;D199</f>
        <v>BB01-9982258</v>
      </c>
      <c r="G199" s="3" t="str">
        <f t="shared" ref="G199:G230" si="8">CONCATENATE(F199,", ",B199)</f>
        <v>BB01-9982258, FOAM, 194MM X 152MM, PORON, MCMASTER 86375K133-BASED</v>
      </c>
      <c r="H199" s="3" t="s">
        <v>296</v>
      </c>
      <c r="I199" s="3" t="s">
        <v>293</v>
      </c>
      <c r="J199" s="14" t="s">
        <v>51</v>
      </c>
    </row>
    <row r="200" spans="1:10" x14ac:dyDescent="0.25">
      <c r="A200" s="9">
        <v>45541.369618055556</v>
      </c>
      <c r="B200" s="3" t="s">
        <v>334</v>
      </c>
      <c r="C200" s="3" t="s">
        <v>50</v>
      </c>
      <c r="D200" s="12">
        <v>9969825</v>
      </c>
      <c r="F200" s="3" t="str">
        <f t="shared" si="7"/>
        <v>BB01-9969825</v>
      </c>
      <c r="G200" s="3" t="str">
        <f t="shared" si="8"/>
        <v>BB01-9969825, BASE, MODULE, BATTERY</v>
      </c>
      <c r="H200" s="3" t="s">
        <v>296</v>
      </c>
      <c r="I200" s="3" t="s">
        <v>293</v>
      </c>
      <c r="J200" s="14" t="s">
        <v>51</v>
      </c>
    </row>
    <row r="201" spans="1:10" x14ac:dyDescent="0.25">
      <c r="A201" s="9">
        <v>45541.372372685182</v>
      </c>
      <c r="B201" s="3" t="s">
        <v>180</v>
      </c>
      <c r="C201" s="3" t="s">
        <v>50</v>
      </c>
      <c r="D201" s="12">
        <v>9841174</v>
      </c>
      <c r="F201" s="3" t="str">
        <f t="shared" si="7"/>
        <v>BB01-9841174</v>
      </c>
      <c r="G201" s="3" t="str">
        <f t="shared" si="8"/>
        <v>BB01-9841174, ASSY, SCU, String Control Unit, BRILL, Master</v>
      </c>
      <c r="H201" s="3" t="s">
        <v>296</v>
      </c>
      <c r="I201" s="3" t="s">
        <v>165</v>
      </c>
      <c r="J201" s="14" t="s">
        <v>51</v>
      </c>
    </row>
    <row r="202" spans="1:10" x14ac:dyDescent="0.25">
      <c r="A202" s="9">
        <v>45541.381354166668</v>
      </c>
      <c r="B202" s="3" t="s">
        <v>331</v>
      </c>
      <c r="C202" s="3" t="s">
        <v>50</v>
      </c>
      <c r="D202" s="12">
        <v>9836900</v>
      </c>
      <c r="F202" s="3" t="str">
        <f t="shared" si="7"/>
        <v>BB01-9836900</v>
      </c>
      <c r="G202" s="3" t="str">
        <f t="shared" si="8"/>
        <v>BB01-9836900, SPACER, 194MM X 152MM, MICA, MCMASTER 85825K41-BASED</v>
      </c>
      <c r="H202" s="3" t="s">
        <v>296</v>
      </c>
      <c r="I202" s="3" t="s">
        <v>293</v>
      </c>
      <c r="J202" s="14" t="s">
        <v>51</v>
      </c>
    </row>
    <row r="203" spans="1:10" x14ac:dyDescent="0.25">
      <c r="A203" s="9">
        <v>45541.381701388891</v>
      </c>
      <c r="B203" s="3" t="s">
        <v>440</v>
      </c>
      <c r="C203" s="3" t="s">
        <v>59</v>
      </c>
      <c r="D203" s="12">
        <v>9786190</v>
      </c>
      <c r="F203" s="3" t="str">
        <f t="shared" si="7"/>
        <v>HV01-9786190</v>
      </c>
      <c r="G203" s="3" t="str">
        <f t="shared" si="8"/>
        <v>HV01-9786190, ASSY, MOTOR, MF0310025-C00, ALLIED MOTION</v>
      </c>
      <c r="H203" s="3" t="s">
        <v>438</v>
      </c>
      <c r="I203" s="3" t="s">
        <v>165</v>
      </c>
      <c r="J203" s="14" t="s">
        <v>51</v>
      </c>
    </row>
    <row r="204" spans="1:10" x14ac:dyDescent="0.25">
      <c r="A204" s="9">
        <v>45541.381712962961</v>
      </c>
      <c r="B204" s="3" t="s">
        <v>377</v>
      </c>
      <c r="C204" s="3" t="s">
        <v>50</v>
      </c>
      <c r="D204" s="12">
        <v>9778866</v>
      </c>
      <c r="F204" s="3" t="str">
        <f t="shared" si="7"/>
        <v>BB01-9778866</v>
      </c>
      <c r="G204" s="3" t="str">
        <f t="shared" si="8"/>
        <v>BB01-9778866, LID, SCU</v>
      </c>
      <c r="H204" s="3" t="s">
        <v>296</v>
      </c>
      <c r="I204" s="3" t="s">
        <v>293</v>
      </c>
      <c r="J204" s="14" t="s">
        <v>51</v>
      </c>
    </row>
    <row r="205" spans="1:10" x14ac:dyDescent="0.25">
      <c r="A205" s="9">
        <v>45541.381724537037</v>
      </c>
      <c r="B205" s="3" t="s">
        <v>350</v>
      </c>
      <c r="C205" s="3" t="s">
        <v>50</v>
      </c>
      <c r="D205" s="12">
        <v>9749506</v>
      </c>
      <c r="F205" s="3" t="str">
        <f t="shared" si="7"/>
        <v>BB01-9749506</v>
      </c>
      <c r="G205" s="3" t="str">
        <f t="shared" si="8"/>
        <v>BB01-9749506, T-SLOTTED FRAMING, 40MM X 20MM X 640MM</v>
      </c>
      <c r="H205" s="3" t="s">
        <v>296</v>
      </c>
      <c r="I205" s="3" t="s">
        <v>293</v>
      </c>
      <c r="J205" s="14" t="s">
        <v>51</v>
      </c>
    </row>
    <row r="206" spans="1:10" x14ac:dyDescent="0.25">
      <c r="A206" s="9">
        <v>45541.381736111114</v>
      </c>
      <c r="B206" s="3" t="s">
        <v>301</v>
      </c>
      <c r="C206" s="3" t="s">
        <v>50</v>
      </c>
      <c r="D206" s="12">
        <v>9743790</v>
      </c>
      <c r="F206" s="3" t="str">
        <f t="shared" si="7"/>
        <v>BB01-9743790</v>
      </c>
      <c r="G206" s="3" t="str">
        <f t="shared" si="8"/>
        <v>BB01-9743790, ASSY, PDUX2, 48V, LIFE RACING</v>
      </c>
      <c r="H206" s="3" t="s">
        <v>296</v>
      </c>
      <c r="I206" s="3" t="s">
        <v>165</v>
      </c>
      <c r="J206" s="14" t="s">
        <v>51</v>
      </c>
    </row>
    <row r="207" spans="1:10" x14ac:dyDescent="0.25">
      <c r="A207" s="9">
        <v>45541.381736111114</v>
      </c>
      <c r="B207" s="3" t="s">
        <v>318</v>
      </c>
      <c r="C207" s="3" t="s">
        <v>50</v>
      </c>
      <c r="D207" s="12">
        <v>9653297</v>
      </c>
      <c r="F207" s="3" t="str">
        <f t="shared" si="7"/>
        <v>BB01-9653297</v>
      </c>
      <c r="G207" s="3" t="str">
        <f t="shared" si="8"/>
        <v>BB01-9653297, CONNECTOR, RJ45, RT-ROTATION, WEIDMULLER 1518080000</v>
      </c>
      <c r="H207" s="3" t="s">
        <v>296</v>
      </c>
      <c r="I207" s="3" t="s">
        <v>293</v>
      </c>
      <c r="J207" s="14" t="s">
        <v>51</v>
      </c>
    </row>
    <row r="208" spans="1:10" x14ac:dyDescent="0.25">
      <c r="A208" s="9">
        <v>45541.381747685184</v>
      </c>
      <c r="B208" s="3" t="s">
        <v>343</v>
      </c>
      <c r="C208" s="3" t="s">
        <v>50</v>
      </c>
      <c r="D208" s="12">
        <v>9641986</v>
      </c>
      <c r="F208" s="3" t="str">
        <f t="shared" si="7"/>
        <v>BB01-9641986</v>
      </c>
      <c r="G208" s="3" t="str">
        <f t="shared" si="8"/>
        <v>BB01-9641986, WASHER, M5 X 1MM, COARSE, MCMASTER 98269A440</v>
      </c>
      <c r="H208" s="3" t="s">
        <v>296</v>
      </c>
      <c r="I208" s="3" t="s">
        <v>293</v>
      </c>
      <c r="J208" s="14" t="s">
        <v>51</v>
      </c>
    </row>
    <row r="209" spans="1:10" x14ac:dyDescent="0.25">
      <c r="A209" s="9">
        <v>45541.538506944446</v>
      </c>
      <c r="B209" s="3" t="s">
        <v>337</v>
      </c>
      <c r="C209" s="3" t="s">
        <v>50</v>
      </c>
      <c r="D209" s="12">
        <v>9488749</v>
      </c>
      <c r="F209" s="3" t="str">
        <f t="shared" si="7"/>
        <v>BB01-9488749</v>
      </c>
      <c r="G209" s="3" t="str">
        <f t="shared" si="8"/>
        <v>BB01-9488749, BOLT, M6X180MM, SOCKET HEAD, STEEL, MCMASTER 91290A114</v>
      </c>
      <c r="H209" s="3" t="s">
        <v>296</v>
      </c>
      <c r="I209" s="3" t="s">
        <v>293</v>
      </c>
      <c r="J209" s="14" t="s">
        <v>51</v>
      </c>
    </row>
    <row r="210" spans="1:10" x14ac:dyDescent="0.25">
      <c r="A210" s="9">
        <v>45541.57739583333</v>
      </c>
      <c r="B210" s="3" t="s">
        <v>361</v>
      </c>
      <c r="C210" s="3" t="s">
        <v>50</v>
      </c>
      <c r="D210" s="12">
        <v>9400236</v>
      </c>
      <c r="F210" s="3" t="str">
        <f t="shared" si="7"/>
        <v>BB01-9400236</v>
      </c>
      <c r="G210" s="3" t="str">
        <f t="shared" si="8"/>
        <v>BB01-9400236, BOLT, M4 X 16MM, BUTTON HEAD, STEEL, MCMASTER 90942A121</v>
      </c>
      <c r="H210" s="3" t="s">
        <v>296</v>
      </c>
      <c r="I210" s="3" t="s">
        <v>293</v>
      </c>
      <c r="J210" s="3" t="s">
        <v>373</v>
      </c>
    </row>
    <row r="211" spans="1:10" x14ac:dyDescent="0.25">
      <c r="A211" s="9">
        <v>45544.510613425926</v>
      </c>
      <c r="B211" s="3" t="s">
        <v>417</v>
      </c>
      <c r="C211" s="3" t="s">
        <v>50</v>
      </c>
      <c r="D211" s="12">
        <v>9389435</v>
      </c>
      <c r="F211" s="15" t="str">
        <f t="shared" si="7"/>
        <v>BB01-9389435</v>
      </c>
      <c r="G211" s="3" t="str">
        <f t="shared" si="8"/>
        <v>BB01-9389435, DOMAIN, HVDS</v>
      </c>
      <c r="H211" s="3" t="s">
        <v>405</v>
      </c>
      <c r="I211" s="3" t="s">
        <v>417</v>
      </c>
      <c r="J211" s="14" t="s">
        <v>51</v>
      </c>
    </row>
    <row r="212" spans="1:10" x14ac:dyDescent="0.25">
      <c r="A212" s="9">
        <v>45544.570694444446</v>
      </c>
      <c r="B212" s="3" t="s">
        <v>455</v>
      </c>
      <c r="C212" s="3" t="s">
        <v>59</v>
      </c>
      <c r="D212" s="12">
        <v>9257429</v>
      </c>
      <c r="F212" s="3" t="str">
        <f t="shared" si="7"/>
        <v>HV01-9257429</v>
      </c>
      <c r="G212" s="3" t="str">
        <f t="shared" si="8"/>
        <v>HV01-9257429, BLADE, TURBINE, HYDROVOLT, TYPE01</v>
      </c>
      <c r="H212" s="3" t="s">
        <v>438</v>
      </c>
      <c r="I212" s="3" t="s">
        <v>293</v>
      </c>
      <c r="J212" s="3" t="s">
        <v>376</v>
      </c>
    </row>
    <row r="213" spans="1:10" x14ac:dyDescent="0.25">
      <c r="A213" s="9">
        <v>45548.600381944445</v>
      </c>
      <c r="B213" s="3" t="s">
        <v>314</v>
      </c>
      <c r="C213" s="3" t="s">
        <v>50</v>
      </c>
      <c r="D213" s="12">
        <v>9246511</v>
      </c>
      <c r="F213" s="3" t="str">
        <f t="shared" si="7"/>
        <v>BB01-9246511</v>
      </c>
      <c r="G213" s="3" t="str">
        <f t="shared" si="8"/>
        <v>BB01-9246511, BOLT, M4X90MM, SOCKET HEAD, STEEL, MCMASTER 91290A183</v>
      </c>
      <c r="H213" s="3" t="s">
        <v>296</v>
      </c>
      <c r="I213" s="3" t="s">
        <v>293</v>
      </c>
      <c r="J213" s="14" t="s">
        <v>51</v>
      </c>
    </row>
    <row r="214" spans="1:10" x14ac:dyDescent="0.25">
      <c r="A214" s="9">
        <v>45549.616493055553</v>
      </c>
      <c r="B214" s="3" t="s">
        <v>397</v>
      </c>
      <c r="C214" s="3" t="s">
        <v>50</v>
      </c>
      <c r="D214" s="12">
        <v>9070257</v>
      </c>
      <c r="F214" s="3" t="str">
        <f t="shared" si="7"/>
        <v>BB01-9070257</v>
      </c>
      <c r="G214" s="3" t="str">
        <f t="shared" si="8"/>
        <v>BB01-9070257, STUD, M4X8MM, MCMASTER 93580A591</v>
      </c>
      <c r="H214" s="3" t="s">
        <v>296</v>
      </c>
      <c r="I214" s="3" t="s">
        <v>293</v>
      </c>
      <c r="J214" s="14" t="s">
        <v>51</v>
      </c>
    </row>
    <row r="215" spans="1:10" x14ac:dyDescent="0.25">
      <c r="A215" s="9">
        <v>45549.63417824074</v>
      </c>
      <c r="B215" s="3" t="s">
        <v>393</v>
      </c>
      <c r="C215" s="3" t="s">
        <v>59</v>
      </c>
      <c r="D215" s="12">
        <v>9026184</v>
      </c>
      <c r="F215" s="3" t="str">
        <f t="shared" si="7"/>
        <v>HV01-9026184</v>
      </c>
      <c r="G215" s="3" t="str">
        <f t="shared" si="8"/>
        <v>HV01-9026184, COLLAR, TAPERED, MACHINED, DRILLED</v>
      </c>
      <c r="H215" s="3" t="s">
        <v>296</v>
      </c>
      <c r="I215" s="3" t="s">
        <v>293</v>
      </c>
      <c r="J215" s="3" t="s">
        <v>380</v>
      </c>
    </row>
    <row r="216" spans="1:10" x14ac:dyDescent="0.25">
      <c r="A216" s="9">
        <v>45549.697476851848</v>
      </c>
      <c r="B216" s="3" t="s">
        <v>409</v>
      </c>
      <c r="C216" s="3" t="s">
        <v>50</v>
      </c>
      <c r="D216" s="12">
        <v>9012864</v>
      </c>
      <c r="F216" s="15" t="str">
        <f t="shared" si="7"/>
        <v>BB01-9012864</v>
      </c>
      <c r="G216" s="3" t="str">
        <f t="shared" si="8"/>
        <v>BB01-9012864, DOMAIN, BATTERY</v>
      </c>
      <c r="H216" s="3" t="s">
        <v>405</v>
      </c>
      <c r="I216" s="3" t="s">
        <v>409</v>
      </c>
      <c r="J216" s="3" t="s">
        <v>380</v>
      </c>
    </row>
    <row r="217" spans="1:10" x14ac:dyDescent="0.25">
      <c r="A217" s="9">
        <v>45549.69804398148</v>
      </c>
      <c r="B217" s="3" t="s">
        <v>444</v>
      </c>
      <c r="C217" s="3" t="s">
        <v>59</v>
      </c>
      <c r="D217" s="12">
        <v>8968594</v>
      </c>
      <c r="F217" s="3" t="str">
        <f t="shared" si="7"/>
        <v>HV01-8968594</v>
      </c>
      <c r="G217" s="3" t="str">
        <f t="shared" si="8"/>
        <v>HV01-8968594, TURBINE, MACHINED, TI, CUSTOM</v>
      </c>
      <c r="H217" s="3" t="s">
        <v>438</v>
      </c>
      <c r="I217" s="3" t="s">
        <v>293</v>
      </c>
      <c r="J217" s="3" t="s">
        <v>380</v>
      </c>
    </row>
    <row r="218" spans="1:10" x14ac:dyDescent="0.25">
      <c r="A218" s="9">
        <v>45549.699675925927</v>
      </c>
      <c r="B218" s="3" t="s">
        <v>310</v>
      </c>
      <c r="C218" s="3" t="s">
        <v>50</v>
      </c>
      <c r="D218" s="12">
        <v>8861201</v>
      </c>
      <c r="F218" s="3" t="str">
        <f t="shared" si="7"/>
        <v>BB01-8861201</v>
      </c>
      <c r="G218" s="3" t="str">
        <f t="shared" si="8"/>
        <v>BB01-8861201, ASSY, DCDC, 4.8KW, BRIGHTLOOP, MPD, 960V TO 56V, 3X OUT</v>
      </c>
      <c r="H218" s="3" t="s">
        <v>296</v>
      </c>
      <c r="I218" s="3" t="s">
        <v>165</v>
      </c>
      <c r="J218" s="3" t="s">
        <v>380</v>
      </c>
    </row>
    <row r="219" spans="1:10" x14ac:dyDescent="0.25">
      <c r="A219" s="9">
        <v>45549.700474537036</v>
      </c>
      <c r="B219" s="3" t="s">
        <v>182</v>
      </c>
      <c r="C219" s="3" t="s">
        <v>50</v>
      </c>
      <c r="D219" s="12">
        <v>8753802</v>
      </c>
      <c r="F219" s="3" t="str">
        <f t="shared" si="7"/>
        <v>BB01-8753802</v>
      </c>
      <c r="G219" s="3" t="str">
        <f t="shared" si="8"/>
        <v>BB01-8753802, ASSY, MCU, Module Control Unit, BRILL, Secondary</v>
      </c>
      <c r="H219" s="3" t="s">
        <v>405</v>
      </c>
      <c r="I219" s="3" t="s">
        <v>165</v>
      </c>
      <c r="J219" s="3" t="s">
        <v>380</v>
      </c>
    </row>
    <row r="220" spans="1:10" x14ac:dyDescent="0.25">
      <c r="A220" s="9">
        <v>45550.413877314815</v>
      </c>
      <c r="B220" s="3" t="s">
        <v>459</v>
      </c>
      <c r="C220" s="3" t="s">
        <v>59</v>
      </c>
      <c r="D220" s="12">
        <v>8733742</v>
      </c>
      <c r="F220" s="3" t="str">
        <f t="shared" si="7"/>
        <v>HV01-8733742</v>
      </c>
      <c r="G220" s="3" t="str">
        <f t="shared" si="8"/>
        <v>HV01-8733742, PLATE, MOTOR CLAMP RING, HYDROVOLT</v>
      </c>
      <c r="H220" s="3" t="s">
        <v>438</v>
      </c>
      <c r="I220" s="3" t="s">
        <v>293</v>
      </c>
      <c r="J220" s="3" t="s">
        <v>386</v>
      </c>
    </row>
    <row r="221" spans="1:10" x14ac:dyDescent="0.25">
      <c r="A221" s="9">
        <v>45550.414224537039</v>
      </c>
      <c r="B221" s="3" t="s">
        <v>348</v>
      </c>
      <c r="C221" s="3" t="s">
        <v>50</v>
      </c>
      <c r="D221" s="12">
        <v>8673531</v>
      </c>
      <c r="F221" s="3" t="str">
        <f t="shared" si="7"/>
        <v>BB01-8673531</v>
      </c>
      <c r="G221" s="3" t="str">
        <f t="shared" si="8"/>
        <v>BB01-8673531, ASSY, HOUSING, 12"X10"X7", STAHLIN PC1210CC</v>
      </c>
      <c r="H221" s="3" t="s">
        <v>296</v>
      </c>
      <c r="I221" s="3" t="s">
        <v>293</v>
      </c>
      <c r="J221" s="3" t="s">
        <v>386</v>
      </c>
    </row>
    <row r="222" spans="1:10" x14ac:dyDescent="0.25">
      <c r="A222" s="9">
        <v>45550.437685185185</v>
      </c>
      <c r="B222" s="3" t="s">
        <v>309</v>
      </c>
      <c r="C222" s="3" t="s">
        <v>50</v>
      </c>
      <c r="D222" s="12">
        <v>8624495</v>
      </c>
      <c r="F222" s="3" t="str">
        <f t="shared" si="7"/>
        <v>BB01-8624495</v>
      </c>
      <c r="G222" s="3" t="str">
        <f t="shared" si="8"/>
        <v>BB01-8624495, ASSY, DCDC, 4.8KW, 960V TO 56V, 2X OUT, BRIGHTLOOP, BLV_118_00_MUT_00</v>
      </c>
      <c r="H222" s="3" t="s">
        <v>296</v>
      </c>
      <c r="I222" s="3" t="s">
        <v>165</v>
      </c>
      <c r="J222" s="3" t="s">
        <v>389</v>
      </c>
    </row>
    <row r="223" spans="1:10" x14ac:dyDescent="0.25">
      <c r="A223" s="9">
        <v>45550.560914351852</v>
      </c>
      <c r="B223" s="3" t="s">
        <v>554</v>
      </c>
      <c r="C223" s="3" t="s">
        <v>50</v>
      </c>
      <c r="D223" s="12">
        <v>8601174</v>
      </c>
      <c r="F223" s="3" t="str">
        <f t="shared" si="7"/>
        <v>BB01-8601174</v>
      </c>
      <c r="G223" s="3" t="str">
        <f t="shared" si="8"/>
        <v>BB01-8601174, HINGE, M6, LIFT OFF, MCMASTER 11955A67</v>
      </c>
      <c r="H223" s="3" t="s">
        <v>296</v>
      </c>
      <c r="J223" s="3" t="s">
        <v>391</v>
      </c>
    </row>
    <row r="224" spans="1:10" x14ac:dyDescent="0.25">
      <c r="A224" s="9">
        <v>45550.565034722225</v>
      </c>
      <c r="B224" s="3" t="s">
        <v>335</v>
      </c>
      <c r="C224" s="3" t="s">
        <v>50</v>
      </c>
      <c r="D224" s="12">
        <v>8564875</v>
      </c>
      <c r="F224" s="3" t="str">
        <f t="shared" si="7"/>
        <v>BB01-8564875</v>
      </c>
      <c r="G224" s="3" t="str">
        <f t="shared" si="8"/>
        <v>BB01-8564875, DOWEL, HOLLOW, 8MM X 12MM, MCMASTER 97184A220</v>
      </c>
      <c r="H224" s="3" t="s">
        <v>296</v>
      </c>
      <c r="I224" s="3" t="s">
        <v>293</v>
      </c>
      <c r="J224" s="3" t="s">
        <v>391</v>
      </c>
    </row>
    <row r="225" spans="1:11" x14ac:dyDescent="0.25">
      <c r="A225" s="9">
        <v>45551.619849537034</v>
      </c>
      <c r="B225" s="3" t="s">
        <v>351</v>
      </c>
      <c r="C225" s="3" t="s">
        <v>50</v>
      </c>
      <c r="D225" s="12">
        <v>8312055</v>
      </c>
      <c r="F225" s="3" t="str">
        <f t="shared" si="7"/>
        <v>BB01-8312055</v>
      </c>
      <c r="G225" s="3" t="str">
        <f t="shared" si="8"/>
        <v>BB01-8312055, T-SLOTTED FRAMING, 40MM X 20MM X 1739MM</v>
      </c>
      <c r="H225" s="3" t="s">
        <v>296</v>
      </c>
      <c r="I225" s="3" t="s">
        <v>293</v>
      </c>
      <c r="J225" s="14" t="s">
        <v>51</v>
      </c>
      <c r="K225" s="3" t="s">
        <v>394</v>
      </c>
    </row>
    <row r="226" spans="1:11" x14ac:dyDescent="0.25">
      <c r="A226" s="9">
        <v>45551.630937499998</v>
      </c>
      <c r="B226" s="3" t="s">
        <v>344</v>
      </c>
      <c r="C226" s="3" t="s">
        <v>50</v>
      </c>
      <c r="D226" s="12">
        <v>8163527</v>
      </c>
      <c r="F226" s="3" t="str">
        <f t="shared" si="7"/>
        <v>BB01-8163527</v>
      </c>
      <c r="G226" s="3" t="str">
        <f t="shared" si="8"/>
        <v>BB01-8163527, BUS BAR, BRICK, EVE105, POWER CONFIG, 2P5S</v>
      </c>
      <c r="H226" s="3" t="s">
        <v>296</v>
      </c>
      <c r="I226" s="3" t="s">
        <v>293</v>
      </c>
      <c r="J226" s="14" t="s">
        <v>51</v>
      </c>
      <c r="K226" s="3" t="s">
        <v>394</v>
      </c>
    </row>
    <row r="227" spans="1:11" x14ac:dyDescent="0.25">
      <c r="A227" s="9">
        <v>45552.565428240741</v>
      </c>
      <c r="B227" s="3" t="s">
        <v>452</v>
      </c>
      <c r="C227" s="3" t="s">
        <v>59</v>
      </c>
      <c r="D227" s="12">
        <v>8105151</v>
      </c>
      <c r="F227" s="3" t="str">
        <f t="shared" si="7"/>
        <v>HV01-8105151</v>
      </c>
      <c r="G227" s="3" t="str">
        <f t="shared" si="8"/>
        <v>HV01-8105151, BEARING, 300MM ID, 316MM OD, 8MM, SM30008AR0, SILVERTHIN</v>
      </c>
      <c r="H227" s="3" t="s">
        <v>438</v>
      </c>
      <c r="I227" s="3" t="s">
        <v>293</v>
      </c>
      <c r="J227" s="14" t="s">
        <v>51</v>
      </c>
    </row>
    <row r="228" spans="1:11" x14ac:dyDescent="0.25">
      <c r="A228" s="9">
        <v>45552.745185185187</v>
      </c>
      <c r="B228" s="3" t="s">
        <v>349</v>
      </c>
      <c r="C228" s="3" t="s">
        <v>50</v>
      </c>
      <c r="D228" s="12">
        <v>8098848</v>
      </c>
      <c r="F228" s="3" t="str">
        <f t="shared" si="7"/>
        <v>BB01-8098848</v>
      </c>
      <c r="G228" s="3" t="str">
        <f t="shared" si="8"/>
        <v>BB01-8098848, ASSY, STRUCTURE, 5.7'X 2.4'x 2', ALPHA 1.1 CONFIG</v>
      </c>
      <c r="H228" s="3" t="s">
        <v>296</v>
      </c>
      <c r="I228" s="3" t="s">
        <v>165</v>
      </c>
      <c r="J228" s="3" t="s">
        <v>380</v>
      </c>
    </row>
    <row r="229" spans="1:11" x14ac:dyDescent="0.25">
      <c r="A229" s="9">
        <v>45552.747743055559</v>
      </c>
      <c r="B229" s="3" t="s">
        <v>302</v>
      </c>
      <c r="C229" s="3" t="s">
        <v>50</v>
      </c>
      <c r="D229" s="12">
        <v>8073298</v>
      </c>
      <c r="F229" s="3" t="str">
        <f t="shared" si="7"/>
        <v>BB01-8073298</v>
      </c>
      <c r="G229" s="3" t="str">
        <f t="shared" si="8"/>
        <v>BB01-8073298, ASSY, PDUX2, 12V, LIFE RACING</v>
      </c>
      <c r="H229" s="3" t="s">
        <v>296</v>
      </c>
      <c r="I229" s="3" t="s">
        <v>165</v>
      </c>
      <c r="J229" s="3" t="s">
        <v>51</v>
      </c>
    </row>
    <row r="230" spans="1:11" x14ac:dyDescent="0.25">
      <c r="A230" s="9">
        <v>45552.773506944446</v>
      </c>
      <c r="B230" s="3" t="s">
        <v>298</v>
      </c>
      <c r="C230" s="3" t="s">
        <v>50</v>
      </c>
      <c r="D230" s="12">
        <v>8020554</v>
      </c>
      <c r="F230" s="3" t="str">
        <f t="shared" si="7"/>
        <v>BB01-8020554</v>
      </c>
      <c r="G230" s="3" t="str">
        <f t="shared" si="8"/>
        <v>BB01-8020554, ASSY, DCDC, 4.8kW, BRIGHTLOOP, BBMP, 48V</v>
      </c>
      <c r="H230" s="3" t="s">
        <v>296</v>
      </c>
      <c r="I230" s="3" t="s">
        <v>165</v>
      </c>
      <c r="J230" s="3" t="s">
        <v>51</v>
      </c>
    </row>
    <row r="231" spans="1:11" x14ac:dyDescent="0.25">
      <c r="A231" s="9">
        <v>45553.405347222222</v>
      </c>
      <c r="B231" s="3" t="s">
        <v>441</v>
      </c>
      <c r="C231" s="3" t="s">
        <v>59</v>
      </c>
      <c r="D231" s="12">
        <v>7983301</v>
      </c>
      <c r="F231" s="3" t="str">
        <f t="shared" si="7"/>
        <v>HV01-7983301</v>
      </c>
      <c r="G231" s="3" t="str">
        <f t="shared" ref="G231:G261" si="9">CONCATENATE(F231,", ",B231)</f>
        <v>HV01-7983301, ASSY, MOTOR, LSI 267-58, THIN GAP</v>
      </c>
      <c r="H231" s="3" t="s">
        <v>438</v>
      </c>
      <c r="I231" s="3" t="s">
        <v>165</v>
      </c>
      <c r="J231" s="3" t="s">
        <v>380</v>
      </c>
    </row>
    <row r="232" spans="1:11" x14ac:dyDescent="0.25">
      <c r="A232" s="9">
        <v>45554.267847222225</v>
      </c>
      <c r="B232" s="3" t="s">
        <v>312</v>
      </c>
      <c r="C232" s="3" t="s">
        <v>50</v>
      </c>
      <c r="D232" s="12">
        <v>7965051</v>
      </c>
      <c r="F232" s="3" t="str">
        <f t="shared" si="7"/>
        <v>BB01-7965051</v>
      </c>
      <c r="G232" s="3" t="str">
        <f t="shared" si="9"/>
        <v>BB01-7965051, TERMINAL, LUG, 4AWG, WURTH, 5580625</v>
      </c>
      <c r="H232" s="3" t="s">
        <v>296</v>
      </c>
      <c r="I232" s="3" t="s">
        <v>293</v>
      </c>
      <c r="J232" s="3" t="s">
        <v>380</v>
      </c>
    </row>
    <row r="233" spans="1:11" x14ac:dyDescent="0.25">
      <c r="A233" s="9">
        <v>45554.272210648145</v>
      </c>
      <c r="B233" s="3" t="s">
        <v>184</v>
      </c>
      <c r="C233" s="3" t="s">
        <v>50</v>
      </c>
      <c r="D233" s="12">
        <v>7920078</v>
      </c>
      <c r="F233" s="3" t="str">
        <f t="shared" si="7"/>
        <v>BB01-7920078</v>
      </c>
      <c r="G233" s="3" t="str">
        <f t="shared" si="9"/>
        <v>BB01-7920078, ASSY, DCDC, 500KW, BRIGHTLOOP</v>
      </c>
      <c r="H233" s="3" t="s">
        <v>545</v>
      </c>
      <c r="I233" s="3" t="s">
        <v>165</v>
      </c>
      <c r="J233" s="14" t="s">
        <v>51</v>
      </c>
    </row>
    <row r="234" spans="1:11" x14ac:dyDescent="0.25">
      <c r="A234" s="9">
        <v>45554.297777777778</v>
      </c>
      <c r="B234" s="3" t="s">
        <v>367</v>
      </c>
      <c r="C234" s="3" t="s">
        <v>50</v>
      </c>
      <c r="D234" s="12">
        <v>7846341</v>
      </c>
      <c r="F234" s="3" t="str">
        <f t="shared" si="7"/>
        <v>BB01-7846341</v>
      </c>
      <c r="G234" s="3" t="str">
        <f t="shared" si="9"/>
        <v>BB01-7846341, CONNECTOR, SURLOK, 5.7MM, RIGHT ANGLE, SLPPA16BSBR2</v>
      </c>
      <c r="H234" s="3" t="s">
        <v>296</v>
      </c>
      <c r="I234" s="3" t="s">
        <v>293</v>
      </c>
      <c r="J234" s="14" t="s">
        <v>51</v>
      </c>
    </row>
    <row r="235" spans="1:11" x14ac:dyDescent="0.25">
      <c r="A235" s="9">
        <v>45555.537106481483</v>
      </c>
      <c r="B235" s="3" t="s">
        <v>551</v>
      </c>
      <c r="C235" s="3" t="s">
        <v>59</v>
      </c>
      <c r="D235" s="12">
        <v>7816452</v>
      </c>
      <c r="F235" s="3" t="str">
        <f t="shared" si="7"/>
        <v>HV01-7816452</v>
      </c>
      <c r="G235" s="3" t="str">
        <f t="shared" si="9"/>
        <v>HV01-7816452, BASEPLATE, MACHINED, BUILD TOOLING, HYDROVOLT</v>
      </c>
      <c r="J235" s="3" t="s">
        <v>406</v>
      </c>
    </row>
    <row r="236" spans="1:11" x14ac:dyDescent="0.25">
      <c r="A236" s="9">
        <v>45555.538124999999</v>
      </c>
      <c r="B236" s="3" t="s">
        <v>339</v>
      </c>
      <c r="C236" s="3" t="s">
        <v>50</v>
      </c>
      <c r="D236" s="12">
        <v>7547450</v>
      </c>
      <c r="F236" s="3" t="str">
        <f t="shared" si="7"/>
        <v>BB01-7547450</v>
      </c>
      <c r="G236" s="3" t="str">
        <f t="shared" si="9"/>
        <v>BB01-7547450, WASHER, M6, MCMASTER 98269A450</v>
      </c>
      <c r="H236" s="3" t="s">
        <v>296</v>
      </c>
      <c r="I236" s="3" t="s">
        <v>293</v>
      </c>
      <c r="J236" s="3" t="s">
        <v>408</v>
      </c>
    </row>
    <row r="237" spans="1:11" x14ac:dyDescent="0.25">
      <c r="A237" s="9">
        <v>45555.54246527778</v>
      </c>
      <c r="B237" s="3" t="s">
        <v>401</v>
      </c>
      <c r="C237" s="3" t="s">
        <v>50</v>
      </c>
      <c r="D237" s="12">
        <v>7545292</v>
      </c>
      <c r="F237" s="3" t="str">
        <f t="shared" si="7"/>
        <v>BB01-7545292</v>
      </c>
      <c r="G237" s="3" t="str">
        <f t="shared" si="9"/>
        <v>BB01-7545292, BOLT, M5X22MM, BUTTON HEAD, SS18-8, MCMASTER 92095A482</v>
      </c>
      <c r="H237" s="3" t="s">
        <v>296</v>
      </c>
      <c r="I237" s="3" t="s">
        <v>293</v>
      </c>
      <c r="J237" s="3" t="s">
        <v>408</v>
      </c>
    </row>
    <row r="238" spans="1:11" x14ac:dyDescent="0.25">
      <c r="A238" s="9">
        <v>45556.381736111114</v>
      </c>
      <c r="B238" s="3" t="s">
        <v>419</v>
      </c>
      <c r="C238" s="3" t="s">
        <v>50</v>
      </c>
      <c r="D238" s="12">
        <v>7519339</v>
      </c>
      <c r="F238" s="15" t="str">
        <f t="shared" si="7"/>
        <v>BB01-7519339</v>
      </c>
      <c r="G238" s="3" t="str">
        <f t="shared" si="9"/>
        <v>BB01-7519339, DOMAIN, THERMAL</v>
      </c>
      <c r="H238" s="3" t="s">
        <v>405</v>
      </c>
      <c r="I238" s="3" t="s">
        <v>419</v>
      </c>
      <c r="J238" s="14" t="s">
        <v>51</v>
      </c>
      <c r="K238" s="3" t="s">
        <v>413</v>
      </c>
    </row>
    <row r="239" spans="1:11" x14ac:dyDescent="0.25">
      <c r="A239" s="9">
        <v>45556.39166666667</v>
      </c>
      <c r="B239" s="3" t="s">
        <v>354</v>
      </c>
      <c r="C239" s="3" t="s">
        <v>50</v>
      </c>
      <c r="D239" s="12">
        <v>7440166</v>
      </c>
      <c r="F239" s="3" t="str">
        <f t="shared" si="7"/>
        <v>BB01-7440166</v>
      </c>
      <c r="G239" s="3" t="str">
        <f t="shared" si="9"/>
        <v>BB01-7440166, SLIDER, STRUCTURE, ALPHA, TIPO 1</v>
      </c>
      <c r="H239" s="3" t="s">
        <v>296</v>
      </c>
      <c r="I239" s="3" t="s">
        <v>165</v>
      </c>
      <c r="J239" s="14" t="s">
        <v>51</v>
      </c>
      <c r="K239" s="3" t="s">
        <v>415</v>
      </c>
    </row>
    <row r="240" spans="1:11" x14ac:dyDescent="0.25">
      <c r="A240" s="9">
        <v>45556.607349537036</v>
      </c>
      <c r="B240" s="3" t="s">
        <v>460</v>
      </c>
      <c r="C240" s="3" t="s">
        <v>59</v>
      </c>
      <c r="D240" s="12">
        <v>7373835</v>
      </c>
      <c r="F240" s="3" t="str">
        <f t="shared" si="7"/>
        <v>HV01-7373835</v>
      </c>
      <c r="G240" s="3" t="str">
        <f t="shared" si="9"/>
        <v>HV01-7373835, PLATE, BLADE CLAMP RING, HYDROVOLT</v>
      </c>
      <c r="H240" s="3" t="s">
        <v>438</v>
      </c>
      <c r="I240" s="3" t="s">
        <v>293</v>
      </c>
      <c r="J240" s="14" t="s">
        <v>51</v>
      </c>
      <c r="K240" s="3" t="s">
        <v>415</v>
      </c>
    </row>
    <row r="241" spans="1:11" x14ac:dyDescent="0.25">
      <c r="A241" s="9">
        <v>45556.621458333335</v>
      </c>
      <c r="B241" s="3" t="s">
        <v>347</v>
      </c>
      <c r="C241" s="3" t="s">
        <v>50</v>
      </c>
      <c r="D241" s="12">
        <v>7239896</v>
      </c>
      <c r="F241" s="3" t="str">
        <f t="shared" si="7"/>
        <v>BB01-7239896</v>
      </c>
      <c r="G241" s="3" t="str">
        <f t="shared" si="9"/>
        <v>BB01-7239896, PLATE, CLOSEOUT, BATTERY</v>
      </c>
      <c r="H241" s="3" t="s">
        <v>296</v>
      </c>
      <c r="I241" s="3" t="s">
        <v>293</v>
      </c>
      <c r="J241" s="14" t="s">
        <v>51</v>
      </c>
      <c r="K241" s="3" t="s">
        <v>415</v>
      </c>
    </row>
    <row r="242" spans="1:11" x14ac:dyDescent="0.25">
      <c r="A242" s="9">
        <v>45556.622974537036</v>
      </c>
      <c r="B242" s="3" t="s">
        <v>534</v>
      </c>
      <c r="C242" s="3" t="s">
        <v>50</v>
      </c>
      <c r="D242" s="12">
        <v>7221300</v>
      </c>
      <c r="F242" s="15" t="str">
        <f t="shared" si="7"/>
        <v>BB01-7221300</v>
      </c>
      <c r="G242" s="3" t="str">
        <f t="shared" si="9"/>
        <v>BB01-7221300, SENSOR, CURRENT, ODOMETER, ALPHA</v>
      </c>
      <c r="H242" s="3" t="s">
        <v>535</v>
      </c>
      <c r="I242" s="3" t="s">
        <v>293</v>
      </c>
      <c r="J242" s="14" t="s">
        <v>51</v>
      </c>
      <c r="K242" s="3" t="s">
        <v>415</v>
      </c>
    </row>
    <row r="243" spans="1:11" x14ac:dyDescent="0.25">
      <c r="A243" s="9">
        <v>45556.656597222223</v>
      </c>
      <c r="B243" s="3" t="s">
        <v>449</v>
      </c>
      <c r="C243" s="3" t="s">
        <v>59</v>
      </c>
      <c r="D243" s="12">
        <v>7177774</v>
      </c>
      <c r="F243" s="3" t="str">
        <f t="shared" si="7"/>
        <v>HV01-7177774</v>
      </c>
      <c r="G243" s="3" t="str">
        <f t="shared" si="9"/>
        <v>HV01-7177774, CAP, MACHINED, ALI, CUSTOM</v>
      </c>
      <c r="H243" s="3" t="s">
        <v>438</v>
      </c>
      <c r="I243" s="3" t="s">
        <v>293</v>
      </c>
      <c r="J243" s="14" t="s">
        <v>51</v>
      </c>
      <c r="K243" s="3" t="s">
        <v>415</v>
      </c>
    </row>
    <row r="244" spans="1:11" x14ac:dyDescent="0.25">
      <c r="A244" s="9">
        <v>45556.656631944446</v>
      </c>
      <c r="B244" s="3" t="s">
        <v>383</v>
      </c>
      <c r="C244" s="3" t="s">
        <v>50</v>
      </c>
      <c r="D244" s="12">
        <v>7134222</v>
      </c>
      <c r="F244" s="3" t="str">
        <f t="shared" si="7"/>
        <v>BB01-7134222</v>
      </c>
      <c r="G244" s="3" t="str">
        <f t="shared" si="9"/>
        <v>BB01-7134222, PLATE, MOUNTING, MCU, FR4, TYPE02</v>
      </c>
      <c r="H244" s="3" t="s">
        <v>296</v>
      </c>
      <c r="I244" s="3" t="s">
        <v>293</v>
      </c>
      <c r="J244" s="14" t="s">
        <v>51</v>
      </c>
      <c r="K244" s="3" t="s">
        <v>415</v>
      </c>
    </row>
    <row r="245" spans="1:11" x14ac:dyDescent="0.25">
      <c r="A245" s="9">
        <v>45557.579421296294</v>
      </c>
      <c r="B245" s="3" t="s">
        <v>388</v>
      </c>
      <c r="C245" s="3" t="s">
        <v>50</v>
      </c>
      <c r="D245" s="12">
        <v>7113662</v>
      </c>
      <c r="F245" s="3" t="str">
        <f t="shared" si="7"/>
        <v>BB01-7113662</v>
      </c>
      <c r="G245" s="3" t="str">
        <f t="shared" si="9"/>
        <v>BB01-7113662, CONNECTOR, CAMLOCK, 400A, RED, MCMASTER 8030K573</v>
      </c>
      <c r="H245" s="3" t="s">
        <v>296</v>
      </c>
      <c r="I245" s="3" t="s">
        <v>293</v>
      </c>
      <c r="J245" s="14" t="s">
        <v>422</v>
      </c>
      <c r="K245" s="3" t="s">
        <v>415</v>
      </c>
    </row>
    <row r="246" spans="1:11" x14ac:dyDescent="0.25">
      <c r="A246" s="9">
        <v>45557.579432870371</v>
      </c>
      <c r="B246" s="3" t="s">
        <v>329</v>
      </c>
      <c r="C246" s="3" t="s">
        <v>50</v>
      </c>
      <c r="D246" s="12">
        <v>6952489</v>
      </c>
      <c r="F246" s="3" t="str">
        <f t="shared" si="7"/>
        <v>BB01-6952489</v>
      </c>
      <c r="G246" s="3" t="str">
        <f t="shared" si="9"/>
        <v>BB01-6952489, SPACER, 194MM X 658MM, MICA, MCMASTER 85825K41-BASED</v>
      </c>
      <c r="H246" s="3" t="s">
        <v>296</v>
      </c>
      <c r="I246" s="3" t="s">
        <v>293</v>
      </c>
      <c r="J246" s="14" t="s">
        <v>51</v>
      </c>
      <c r="K246" s="3" t="s">
        <v>415</v>
      </c>
    </row>
    <row r="247" spans="1:11" x14ac:dyDescent="0.25">
      <c r="A247" s="9">
        <v>45557.655740740738</v>
      </c>
      <c r="B247" s="3" t="s">
        <v>392</v>
      </c>
      <c r="C247" s="3" t="s">
        <v>59</v>
      </c>
      <c r="D247" s="12">
        <v>6828417</v>
      </c>
      <c r="F247" s="3" t="str">
        <f t="shared" ref="F247:F278" si="10">C247&amp;"-"&amp;D247</f>
        <v>HV01-6828417</v>
      </c>
      <c r="G247" s="3" t="str">
        <f t="shared" si="9"/>
        <v xml:space="preserve">HV01-6828417, COLLAR, TAPERED, MACHINED, TAPPED </v>
      </c>
      <c r="H247" s="3" t="s">
        <v>296</v>
      </c>
      <c r="I247" s="3" t="s">
        <v>293</v>
      </c>
      <c r="J247" s="14" t="s">
        <v>422</v>
      </c>
      <c r="K247" s="3" t="s">
        <v>415</v>
      </c>
    </row>
    <row r="248" spans="1:11" x14ac:dyDescent="0.25">
      <c r="A248" s="9">
        <v>45558.911770833336</v>
      </c>
      <c r="B248" s="3" t="s">
        <v>402</v>
      </c>
      <c r="C248" s="3" t="s">
        <v>57</v>
      </c>
      <c r="D248" s="12">
        <v>6530573</v>
      </c>
      <c r="F248" s="3" t="str">
        <f t="shared" si="10"/>
        <v>BB02-6530573</v>
      </c>
      <c r="G248" s="3" t="str">
        <f t="shared" si="9"/>
        <v>BB02-6530573, BOB, EBOM, BETA</v>
      </c>
      <c r="H248" s="3" t="s">
        <v>403</v>
      </c>
      <c r="I248" s="3" t="s">
        <v>217</v>
      </c>
      <c r="J248" s="14" t="s">
        <v>422</v>
      </c>
      <c r="K248" s="3" t="s">
        <v>415</v>
      </c>
    </row>
    <row r="249" spans="1:11" x14ac:dyDescent="0.25">
      <c r="A249" s="9">
        <v>45558.912349537037</v>
      </c>
      <c r="B249" s="3" t="s">
        <v>400</v>
      </c>
      <c r="C249" s="3" t="s">
        <v>50</v>
      </c>
      <c r="D249" s="12">
        <v>6476248</v>
      </c>
      <c r="F249" s="3" t="str">
        <f t="shared" si="10"/>
        <v>BB01-6476248</v>
      </c>
      <c r="G249" s="3" t="str">
        <f t="shared" si="9"/>
        <v>BB01-6476248, ASSY, BUS BAR, EVE105, POWER CONFIG, 2P5S, SINGLE</v>
      </c>
      <c r="H249" s="3" t="s">
        <v>296</v>
      </c>
      <c r="I249" s="3" t="s">
        <v>293</v>
      </c>
      <c r="J249" s="14" t="s">
        <v>422</v>
      </c>
      <c r="K249" s="3" t="s">
        <v>415</v>
      </c>
    </row>
    <row r="250" spans="1:11" x14ac:dyDescent="0.25">
      <c r="A250" s="9">
        <v>45558.928182870368</v>
      </c>
      <c r="B250" s="3" t="s">
        <v>360</v>
      </c>
      <c r="C250" s="3" t="s">
        <v>50</v>
      </c>
      <c r="D250" s="12">
        <v>6359970</v>
      </c>
      <c r="F250" s="3" t="str">
        <f t="shared" si="10"/>
        <v>BB01-6359970</v>
      </c>
      <c r="G250" s="3" t="str">
        <f t="shared" si="9"/>
        <v>BB01-6359970, SLIDER, 0.5", BATTERY MODULE ASSY, ALPHA1, MCMASTER 5709N17 BASE</v>
      </c>
      <c r="H250" s="3" t="s">
        <v>296</v>
      </c>
      <c r="I250" s="3" t="s">
        <v>293</v>
      </c>
      <c r="J250" s="14" t="s">
        <v>422</v>
      </c>
      <c r="K250" s="3" t="s">
        <v>434</v>
      </c>
    </row>
    <row r="251" spans="1:11" x14ac:dyDescent="0.25">
      <c r="A251" s="9">
        <v>45558.928252314814</v>
      </c>
      <c r="B251" s="3" t="s">
        <v>416</v>
      </c>
      <c r="C251" s="3" t="s">
        <v>50</v>
      </c>
      <c r="D251" s="12">
        <v>6342065</v>
      </c>
      <c r="F251" s="15" t="str">
        <f t="shared" si="10"/>
        <v>BB01-6342065</v>
      </c>
      <c r="G251" s="3" t="str">
        <f t="shared" si="9"/>
        <v>BB01-6342065, DOMAIN, LVDS</v>
      </c>
      <c r="H251" s="3" t="s">
        <v>405</v>
      </c>
      <c r="I251" s="3" t="s">
        <v>416</v>
      </c>
      <c r="J251" s="14" t="s">
        <v>422</v>
      </c>
      <c r="K251" s="3" t="s">
        <v>434</v>
      </c>
    </row>
    <row r="252" spans="1:11" x14ac:dyDescent="0.25">
      <c r="A252" s="9">
        <v>45560.927245370367</v>
      </c>
      <c r="B252" s="3" t="s">
        <v>378</v>
      </c>
      <c r="C252" s="3" t="s">
        <v>50</v>
      </c>
      <c r="D252" s="12">
        <v>6329743</v>
      </c>
      <c r="F252" s="3" t="str">
        <f t="shared" si="10"/>
        <v>BB01-6329743</v>
      </c>
      <c r="G252" s="3" t="str">
        <f t="shared" si="9"/>
        <v>BB01-6329743, MOUNTING PLATE, SCU</v>
      </c>
      <c r="H252" s="3" t="s">
        <v>296</v>
      </c>
      <c r="I252" s="3" t="s">
        <v>293</v>
      </c>
      <c r="J252" s="14" t="s">
        <v>422</v>
      </c>
      <c r="K252" s="3" t="s">
        <v>415</v>
      </c>
    </row>
    <row r="253" spans="1:11" x14ac:dyDescent="0.25">
      <c r="A253" s="9">
        <v>45561.680787037039</v>
      </c>
      <c r="B253" s="3" t="s">
        <v>330</v>
      </c>
      <c r="C253" s="3" t="s">
        <v>50</v>
      </c>
      <c r="D253" s="12">
        <v>6305894</v>
      </c>
      <c r="F253" s="3" t="str">
        <f t="shared" si="10"/>
        <v>BB01-6305894</v>
      </c>
      <c r="G253" s="3" t="str">
        <f t="shared" si="9"/>
        <v>BB01-6305894, FOAM, 194MM X 220MM, PORON, MCMASTER 86375K133-BASED</v>
      </c>
      <c r="H253" s="3" t="s">
        <v>296</v>
      </c>
      <c r="I253" s="3" t="s">
        <v>293</v>
      </c>
      <c r="J253" s="14" t="s">
        <v>51</v>
      </c>
      <c r="K253" s="3" t="s">
        <v>415</v>
      </c>
    </row>
    <row r="254" spans="1:11" x14ac:dyDescent="0.25">
      <c r="A254" s="9">
        <v>45565.243287037039</v>
      </c>
      <c r="B254" s="3" t="s">
        <v>305</v>
      </c>
      <c r="C254" s="3" t="s">
        <v>50</v>
      </c>
      <c r="D254" s="12">
        <v>6281104</v>
      </c>
      <c r="F254" s="3" t="str">
        <f t="shared" si="10"/>
        <v>BB01-6281104</v>
      </c>
      <c r="G254" s="3" t="str">
        <f t="shared" si="9"/>
        <v>BB01-6281104, CAPACTIOR, HV, 800 uF, C44UHGT6800M82K, KEMET</v>
      </c>
      <c r="H254" s="3" t="s">
        <v>296</v>
      </c>
      <c r="I254" s="3" t="s">
        <v>293</v>
      </c>
      <c r="J254" s="14" t="s">
        <v>422</v>
      </c>
      <c r="K254" s="3" t="s">
        <v>415</v>
      </c>
    </row>
    <row r="255" spans="1:11" x14ac:dyDescent="0.25">
      <c r="A255" s="9">
        <v>45565.930960648147</v>
      </c>
      <c r="B255" s="3" t="s">
        <v>631</v>
      </c>
      <c r="C255" s="3" t="s">
        <v>59</v>
      </c>
      <c r="D255" s="12">
        <v>6258062</v>
      </c>
      <c r="F255" s="3" t="str">
        <f t="shared" si="10"/>
        <v>HV01-6258062</v>
      </c>
      <c r="G255" s="3" t="str">
        <f t="shared" si="9"/>
        <v>HV01-6258062, ORING, NITRILE, 13.25" OD, MCMASTER 9452K377</v>
      </c>
      <c r="H255" s="3" t="s">
        <v>438</v>
      </c>
      <c r="I255" s="3" t="s">
        <v>293</v>
      </c>
      <c r="J255" s="14" t="s">
        <v>422</v>
      </c>
      <c r="K255" s="3" t="s">
        <v>415</v>
      </c>
    </row>
    <row r="256" spans="1:11" x14ac:dyDescent="0.25">
      <c r="A256" s="9">
        <v>45566.668067129627</v>
      </c>
      <c r="B256" s="3" t="s">
        <v>423</v>
      </c>
      <c r="C256" s="3" t="s">
        <v>50</v>
      </c>
      <c r="D256" s="12">
        <v>6257387</v>
      </c>
      <c r="F256" s="3" t="str">
        <f t="shared" si="10"/>
        <v>BB01-6257387</v>
      </c>
      <c r="G256" s="3" t="str">
        <f t="shared" si="9"/>
        <v>BB01-6257387, ASSY, MODULE, BATTERY, EVE105</v>
      </c>
      <c r="H256" s="3" t="s">
        <v>405</v>
      </c>
      <c r="I256" s="3" t="s">
        <v>165</v>
      </c>
      <c r="J256" s="14" t="s">
        <v>51</v>
      </c>
      <c r="K256" s="3" t="s">
        <v>413</v>
      </c>
    </row>
    <row r="257" spans="1:11" x14ac:dyDescent="0.25">
      <c r="A257" s="9">
        <v>45566.697615740741</v>
      </c>
      <c r="B257" s="3" t="s">
        <v>363</v>
      </c>
      <c r="C257" s="3" t="s">
        <v>50</v>
      </c>
      <c r="D257" s="12">
        <v>6240231</v>
      </c>
      <c r="F257" s="3" t="str">
        <f t="shared" si="10"/>
        <v>BB01-6240231</v>
      </c>
      <c r="G257" s="3" t="str">
        <f t="shared" si="9"/>
        <v>BB01-6240231, BOLT, M5 X 12MM, BUTTON HEAD, STEEL, MCMASTER 90942A124</v>
      </c>
      <c r="H257" s="3" t="s">
        <v>296</v>
      </c>
      <c r="I257" s="3" t="s">
        <v>293</v>
      </c>
      <c r="J257" s="14" t="s">
        <v>51</v>
      </c>
      <c r="K257" s="3" t="s">
        <v>413</v>
      </c>
    </row>
    <row r="258" spans="1:11" x14ac:dyDescent="0.25">
      <c r="A258" s="9">
        <v>45566.704756944448</v>
      </c>
      <c r="B258" s="3" t="s">
        <v>319</v>
      </c>
      <c r="C258" s="3" t="s">
        <v>50</v>
      </c>
      <c r="D258" s="12">
        <v>6217025</v>
      </c>
      <c r="F258" s="3" t="str">
        <f t="shared" si="10"/>
        <v>BB01-6217025</v>
      </c>
      <c r="G258" s="3" t="str">
        <f t="shared" si="9"/>
        <v>BB01-6217025, CONNECTOR, RJ45, LT-ROTATION, WEIDMULLER 1518080000</v>
      </c>
      <c r="H258" s="3" t="s">
        <v>296</v>
      </c>
      <c r="I258" s="3" t="s">
        <v>293</v>
      </c>
      <c r="J258" s="14" t="s">
        <v>51</v>
      </c>
      <c r="K258" s="3" t="s">
        <v>413</v>
      </c>
    </row>
    <row r="259" spans="1:11" x14ac:dyDescent="0.25">
      <c r="A259" s="9">
        <v>45567.501006944447</v>
      </c>
      <c r="B259" s="3" t="s">
        <v>556</v>
      </c>
      <c r="C259" s="3" t="s">
        <v>50</v>
      </c>
      <c r="D259" s="12">
        <v>6047159</v>
      </c>
      <c r="F259" s="3" t="str">
        <f t="shared" si="10"/>
        <v>BB01-6047159</v>
      </c>
      <c r="G259" s="3" t="str">
        <f t="shared" si="9"/>
        <v>BB01-6047159, ASSY, OUTER DOOR</v>
      </c>
      <c r="H259" s="3" t="s">
        <v>296</v>
      </c>
      <c r="J259" s="14" t="s">
        <v>51</v>
      </c>
      <c r="K259" s="3" t="s">
        <v>415</v>
      </c>
    </row>
    <row r="260" spans="1:11" x14ac:dyDescent="0.25">
      <c r="A260" s="9">
        <v>45567.535543981481</v>
      </c>
      <c r="B260" s="3" t="s">
        <v>369</v>
      </c>
      <c r="C260" s="3" t="s">
        <v>50</v>
      </c>
      <c r="D260" s="12">
        <v>5984048</v>
      </c>
      <c r="F260" s="3" t="str">
        <f t="shared" si="10"/>
        <v>BB01-5984048</v>
      </c>
      <c r="G260" s="3" t="str">
        <f t="shared" si="9"/>
        <v>BB01-5984048, CONNECTOR, HV, PL182X_61_2.5, AMPHENOL</v>
      </c>
      <c r="H260" s="3" t="s">
        <v>296</v>
      </c>
      <c r="I260" s="3" t="s">
        <v>293</v>
      </c>
      <c r="J260" s="3" t="s">
        <v>62</v>
      </c>
      <c r="K260" s="3" t="s">
        <v>413</v>
      </c>
    </row>
    <row r="261" spans="1:11" x14ac:dyDescent="0.25">
      <c r="A261" s="9">
        <v>45567.906006944446</v>
      </c>
      <c r="B261" s="3" t="s">
        <v>450</v>
      </c>
      <c r="C261" s="3" t="s">
        <v>59</v>
      </c>
      <c r="D261" s="12">
        <v>5968121</v>
      </c>
      <c r="F261" s="3" t="str">
        <f t="shared" si="10"/>
        <v>HV01-5968121</v>
      </c>
      <c r="G261" s="3" t="str">
        <f t="shared" si="9"/>
        <v>HV01-5968121, HOUSING, MACHINED, ALI, CUSTOM</v>
      </c>
      <c r="H261" s="3" t="s">
        <v>438</v>
      </c>
      <c r="I261" s="3" t="s">
        <v>293</v>
      </c>
      <c r="J261" s="14" t="s">
        <v>422</v>
      </c>
      <c r="K261" s="3" t="s">
        <v>413</v>
      </c>
    </row>
    <row r="262" spans="1:11" x14ac:dyDescent="0.25">
      <c r="A262" s="9">
        <v>45568.969259259262</v>
      </c>
      <c r="B262" s="3" t="s">
        <v>457</v>
      </c>
      <c r="C262" s="3" t="s">
        <v>59</v>
      </c>
      <c r="D262" s="12">
        <v>5903343</v>
      </c>
      <c r="F262" s="3" t="str">
        <f t="shared" si="10"/>
        <v>HV01-5903343</v>
      </c>
      <c r="G262" s="3" t="str">
        <f t="shared" ref="G262:G277" si="11">CONCATENATE(F262,", ",B262)</f>
        <v>HV01-5903343, BOLT, M6, SHOULDER BOLT, 8X11MM, 316SS, MCMASTER 90318A950</v>
      </c>
      <c r="H262" s="3" t="s">
        <v>438</v>
      </c>
      <c r="I262" s="3" t="s">
        <v>293</v>
      </c>
      <c r="J262" s="3" t="s">
        <v>422</v>
      </c>
      <c r="K262" s="3" t="s">
        <v>415</v>
      </c>
    </row>
    <row r="263" spans="1:11" x14ac:dyDescent="0.25">
      <c r="A263" s="9">
        <v>45577.439074074071</v>
      </c>
      <c r="B263" s="3" t="s">
        <v>410</v>
      </c>
      <c r="C263" s="3" t="s">
        <v>411</v>
      </c>
      <c r="D263" s="12">
        <v>5833180</v>
      </c>
      <c r="F263" s="15" t="str">
        <f t="shared" si="10"/>
        <v>SUPP-5833180</v>
      </c>
      <c r="G263" s="3" t="str">
        <f t="shared" si="11"/>
        <v>SUPP-5833180, SUPPLIERS</v>
      </c>
      <c r="H263" s="3" t="s">
        <v>405</v>
      </c>
      <c r="I263" s="3" t="s">
        <v>412</v>
      </c>
      <c r="J263" s="14" t="s">
        <v>51</v>
      </c>
      <c r="K263" s="3" t="s">
        <v>413</v>
      </c>
    </row>
    <row r="264" spans="1:11" x14ac:dyDescent="0.25">
      <c r="A264" s="9">
        <v>45577.444456018522</v>
      </c>
      <c r="B264" s="3" t="s">
        <v>446</v>
      </c>
      <c r="C264" s="3" t="s">
        <v>59</v>
      </c>
      <c r="D264" s="12">
        <v>5796163</v>
      </c>
      <c r="F264" s="3" t="str">
        <f t="shared" si="10"/>
        <v>HV01-5796163</v>
      </c>
      <c r="G264" s="3" t="str">
        <f t="shared" si="11"/>
        <v>HV01-5796163, SPRING, BEARING, DYNAMIC FRONT, SKF</v>
      </c>
      <c r="H264" s="3" t="s">
        <v>438</v>
      </c>
      <c r="I264" s="3" t="s">
        <v>293</v>
      </c>
      <c r="J264" s="14" t="s">
        <v>51</v>
      </c>
      <c r="K264" s="3" t="s">
        <v>413</v>
      </c>
    </row>
    <row r="265" spans="1:11" x14ac:dyDescent="0.25">
      <c r="A265" s="9">
        <v>45577.449641203704</v>
      </c>
      <c r="B265" s="3" t="s">
        <v>445</v>
      </c>
      <c r="C265" s="3" t="s">
        <v>59</v>
      </c>
      <c r="D265" s="12">
        <v>5683178</v>
      </c>
      <c r="F265" s="3" t="str">
        <f t="shared" si="10"/>
        <v>HV01-5683178</v>
      </c>
      <c r="G265" s="3" t="str">
        <f t="shared" si="11"/>
        <v>HV01-5683178, SEAL, BEARING, DYNAMIC, FRONT, SKF</v>
      </c>
      <c r="H265" s="3" t="s">
        <v>438</v>
      </c>
      <c r="I265" s="3" t="s">
        <v>293</v>
      </c>
      <c r="J265" s="14" t="s">
        <v>51</v>
      </c>
      <c r="K265" s="3" t="s">
        <v>413</v>
      </c>
    </row>
    <row r="266" spans="1:11" x14ac:dyDescent="0.25">
      <c r="A266" s="9">
        <v>45577.450509259259</v>
      </c>
      <c r="B266" s="3" t="s">
        <v>437</v>
      </c>
      <c r="C266" s="3" t="s">
        <v>59</v>
      </c>
      <c r="D266" s="12">
        <v>5553580</v>
      </c>
      <c r="F266" s="3" t="str">
        <f t="shared" si="10"/>
        <v>HV01-5553580</v>
      </c>
      <c r="G266" s="3" t="str">
        <f t="shared" si="11"/>
        <v>HV01-5553580, HYDROVOLT, EBOM, ALPHA</v>
      </c>
      <c r="H266" s="3" t="s">
        <v>438</v>
      </c>
      <c r="I266" s="3" t="s">
        <v>165</v>
      </c>
      <c r="J266" s="14" t="s">
        <v>51</v>
      </c>
      <c r="K266" s="3" t="s">
        <v>413</v>
      </c>
    </row>
    <row r="267" spans="1:11" x14ac:dyDescent="0.25">
      <c r="A267" s="9">
        <v>45577.453344907408</v>
      </c>
      <c r="B267" s="3" t="s">
        <v>557</v>
      </c>
      <c r="C267" s="3" t="s">
        <v>50</v>
      </c>
      <c r="D267" s="12">
        <v>5516297</v>
      </c>
      <c r="F267" s="3" t="str">
        <f t="shared" si="10"/>
        <v>BB01-5516297</v>
      </c>
      <c r="G267" s="3" t="str">
        <f t="shared" si="11"/>
        <v>BB01-5516297, INNER DOOR, FORMED, ALU - THK 3.2MM</v>
      </c>
      <c r="H267" s="3" t="s">
        <v>296</v>
      </c>
      <c r="J267" s="14" t="s">
        <v>51</v>
      </c>
      <c r="K267" s="3" t="s">
        <v>413</v>
      </c>
    </row>
    <row r="268" spans="1:11" x14ac:dyDescent="0.25">
      <c r="A268" s="9">
        <v>45577.457638888889</v>
      </c>
      <c r="B268" s="3" t="s">
        <v>304</v>
      </c>
      <c r="C268" s="3" t="s">
        <v>50</v>
      </c>
      <c r="D268" s="12">
        <v>5456747</v>
      </c>
      <c r="F268" s="3" t="str">
        <f t="shared" si="10"/>
        <v>BB01-5456747</v>
      </c>
      <c r="G268" s="3" t="str">
        <f t="shared" si="11"/>
        <v>BB01-5456747, CAPACTIOR, HV, 3.4 mF, C44U0GT7340M33K, KEMET</v>
      </c>
      <c r="H268" s="3" t="s">
        <v>296</v>
      </c>
      <c r="I268" s="3" t="s">
        <v>293</v>
      </c>
      <c r="J268" s="14" t="s">
        <v>51</v>
      </c>
      <c r="K268" s="3" t="s">
        <v>413</v>
      </c>
    </row>
    <row r="269" spans="1:11" x14ac:dyDescent="0.25">
      <c r="A269" s="9">
        <v>45577.501423611109</v>
      </c>
      <c r="B269" s="3" t="s">
        <v>336</v>
      </c>
      <c r="C269" s="3" t="s">
        <v>50</v>
      </c>
      <c r="D269" s="12">
        <v>5452578</v>
      </c>
      <c r="F269" s="3" t="str">
        <f t="shared" si="10"/>
        <v>BB01-5452578</v>
      </c>
      <c r="G269" s="3" t="str">
        <f t="shared" si="11"/>
        <v>BB01-5452578, SIDE, MODULE, BATTERY, TYPE01</v>
      </c>
      <c r="H269" s="3" t="s">
        <v>296</v>
      </c>
      <c r="I269" s="3" t="s">
        <v>293</v>
      </c>
      <c r="J269" s="14" t="s">
        <v>51</v>
      </c>
    </row>
    <row r="270" spans="1:11" x14ac:dyDescent="0.25">
      <c r="A270" s="9">
        <v>45577.513784722221</v>
      </c>
      <c r="B270" s="3" t="s">
        <v>443</v>
      </c>
      <c r="C270" s="3" t="s">
        <v>59</v>
      </c>
      <c r="D270" s="12">
        <v>5404913</v>
      </c>
      <c r="F270" s="3" t="str">
        <f t="shared" si="10"/>
        <v>HV01-5404913</v>
      </c>
      <c r="G270" s="3" t="str">
        <f t="shared" si="11"/>
        <v>HV01-5404913, BEARING, 260MM ID, 320MM OD, 28MM, 61852, SKF</v>
      </c>
      <c r="H270" s="3" t="s">
        <v>438</v>
      </c>
      <c r="I270" s="3" t="s">
        <v>165</v>
      </c>
      <c r="J270" s="14" t="s">
        <v>51</v>
      </c>
    </row>
    <row r="271" spans="1:11" x14ac:dyDescent="0.25">
      <c r="A271" s="9">
        <v>45577.519872685189</v>
      </c>
      <c r="B271" s="3" t="s">
        <v>322</v>
      </c>
      <c r="C271" s="3" t="s">
        <v>50</v>
      </c>
      <c r="D271" s="12">
        <v>5282844</v>
      </c>
      <c r="F271" s="3" t="str">
        <f t="shared" si="10"/>
        <v>BB01-5282844</v>
      </c>
      <c r="G271" s="3" t="str">
        <f t="shared" si="11"/>
        <v>BB01-5282844, PLATE, LATERAL DOUBLE, MCU, FR4, TYPE01</v>
      </c>
      <c r="H271" s="3" t="s">
        <v>296</v>
      </c>
      <c r="I271" s="3" t="s">
        <v>293</v>
      </c>
      <c r="J271" s="14" t="s">
        <v>51</v>
      </c>
    </row>
    <row r="272" spans="1:11" x14ac:dyDescent="0.25">
      <c r="A272" s="9">
        <v>45577.536666666667</v>
      </c>
      <c r="B272" s="3" t="s">
        <v>321</v>
      </c>
      <c r="C272" s="3" t="s">
        <v>50</v>
      </c>
      <c r="D272" s="12">
        <v>5271593</v>
      </c>
      <c r="F272" s="3" t="str">
        <f t="shared" si="10"/>
        <v>BB01-5271593</v>
      </c>
      <c r="G272" s="3" t="str">
        <f t="shared" si="11"/>
        <v>BB01-5271593, PLATE, MOUNTING, MCU, FR4</v>
      </c>
      <c r="H272" s="3" t="s">
        <v>296</v>
      </c>
      <c r="I272" s="3" t="s">
        <v>293</v>
      </c>
      <c r="J272" s="14" t="s">
        <v>51</v>
      </c>
    </row>
    <row r="273" spans="1:11" x14ac:dyDescent="0.25">
      <c r="A273" s="9">
        <v>45577.543310185189</v>
      </c>
      <c r="B273" s="3" t="s">
        <v>365</v>
      </c>
      <c r="C273" s="3" t="s">
        <v>50</v>
      </c>
      <c r="D273" s="12">
        <v>5185462</v>
      </c>
      <c r="F273" s="3" t="str">
        <f t="shared" si="10"/>
        <v>BB01-5185462</v>
      </c>
      <c r="G273" s="3" t="str">
        <f t="shared" si="11"/>
        <v>BB01-5185462, CONNECTOR, SURLOK, 5.7MM, RIGHT ANGLE, SLPPA16BSB</v>
      </c>
      <c r="H273" s="3" t="s">
        <v>296</v>
      </c>
      <c r="I273" s="3" t="s">
        <v>293</v>
      </c>
      <c r="J273" s="14" t="s">
        <v>51</v>
      </c>
    </row>
    <row r="274" spans="1:11" x14ac:dyDescent="0.25">
      <c r="A274" s="9">
        <v>45577.547233796293</v>
      </c>
      <c r="B274" s="3" t="s">
        <v>338</v>
      </c>
      <c r="C274" s="3" t="s">
        <v>50</v>
      </c>
      <c r="D274" s="12">
        <v>5177940</v>
      </c>
      <c r="F274" s="3" t="str">
        <f t="shared" si="10"/>
        <v>BB01-5177940</v>
      </c>
      <c r="G274" s="3" t="str">
        <f t="shared" si="11"/>
        <v>BB01-5177940, NUT, M6 X 1MM, COARSE, MCMASTER 97700A140</v>
      </c>
      <c r="H274" s="3" t="s">
        <v>296</v>
      </c>
      <c r="I274" s="3" t="s">
        <v>293</v>
      </c>
      <c r="J274" s="14" t="s">
        <v>51</v>
      </c>
    </row>
    <row r="275" spans="1:11" x14ac:dyDescent="0.25">
      <c r="A275" s="9">
        <v>45577.54892361111</v>
      </c>
      <c r="B275" s="3" t="s">
        <v>356</v>
      </c>
      <c r="C275" s="3" t="s">
        <v>50</v>
      </c>
      <c r="D275" s="12">
        <v>5150202</v>
      </c>
      <c r="F275" s="3" t="str">
        <f t="shared" si="10"/>
        <v>BB01-5150202</v>
      </c>
      <c r="G275" s="3" t="str">
        <f t="shared" si="11"/>
        <v>BB01-5150202, ASSY, SIDE STRUCTURE, 5.7'X 2.4'x 2', ALPHA 1.1 CONFIG</v>
      </c>
      <c r="H275" s="3" t="s">
        <v>296</v>
      </c>
      <c r="I275" s="3" t="s">
        <v>165</v>
      </c>
      <c r="J275" s="14" t="s">
        <v>51</v>
      </c>
    </row>
    <row r="276" spans="1:11" x14ac:dyDescent="0.25">
      <c r="A276" s="9">
        <v>45577.553668981483</v>
      </c>
      <c r="B276" s="3" t="s">
        <v>340</v>
      </c>
      <c r="C276" s="3" t="s">
        <v>50</v>
      </c>
      <c r="D276" s="12">
        <v>5143619</v>
      </c>
      <c r="F276" s="3" t="str">
        <f t="shared" si="10"/>
        <v>BB01-5143619</v>
      </c>
      <c r="G276" s="3" t="str">
        <f t="shared" si="11"/>
        <v>BB01-5143619, SIDE, MODULE, BATTERY, TYPE02</v>
      </c>
      <c r="H276" s="3" t="s">
        <v>296</v>
      </c>
      <c r="I276" s="3" t="s">
        <v>293</v>
      </c>
      <c r="J276" s="14" t="s">
        <v>51</v>
      </c>
    </row>
    <row r="277" spans="1:11" x14ac:dyDescent="0.25">
      <c r="A277" s="9">
        <v>45577.571273148147</v>
      </c>
      <c r="B277" s="3" t="s">
        <v>375</v>
      </c>
      <c r="C277" s="3" t="s">
        <v>50</v>
      </c>
      <c r="D277" s="12">
        <v>5119672</v>
      </c>
      <c r="F277" s="3" t="str">
        <f t="shared" si="10"/>
        <v>BB01-5119672</v>
      </c>
      <c r="G277" s="3" t="str">
        <f t="shared" si="11"/>
        <v>BB01-5119672, ASSY, SCU, STRING CONTROL UNIT</v>
      </c>
      <c r="H277" s="3" t="s">
        <v>296</v>
      </c>
      <c r="I277" s="3" t="s">
        <v>293</v>
      </c>
      <c r="J277" s="14" t="s">
        <v>51</v>
      </c>
    </row>
    <row r="278" spans="1:11" x14ac:dyDescent="0.25">
      <c r="A278" s="9">
        <v>45577.578414351854</v>
      </c>
      <c r="B278" s="3" t="s">
        <v>352</v>
      </c>
      <c r="C278" s="3" t="s">
        <v>50</v>
      </c>
      <c r="D278" s="12">
        <v>5016768</v>
      </c>
      <c r="F278" s="3" t="str">
        <f t="shared" si="10"/>
        <v>BB01-5016768</v>
      </c>
      <c r="G278" s="3" t="s">
        <v>353</v>
      </c>
      <c r="H278" s="3" t="s">
        <v>296</v>
      </c>
      <c r="I278" s="3" t="s">
        <v>293</v>
      </c>
      <c r="J278" s="14" t="s">
        <v>51</v>
      </c>
    </row>
    <row r="279" spans="1:11" x14ac:dyDescent="0.25">
      <c r="A279" s="9">
        <v>45577.581030092595</v>
      </c>
      <c r="B279" s="3" t="s">
        <v>384</v>
      </c>
      <c r="C279" s="3" t="s">
        <v>50</v>
      </c>
      <c r="D279" s="12">
        <v>4990437</v>
      </c>
      <c r="F279" s="3" t="str">
        <f t="shared" ref="F279:F310" si="12">C279&amp;"-"&amp;D279</f>
        <v>BB01-4990437</v>
      </c>
      <c r="G279" s="3" t="str">
        <f t="shared" ref="G279:G310" si="13">CONCATENATE(F279,", ",B279)</f>
        <v>BB01-4990437, CONNECTOR, CAMLOCK, 400A, BLACK, MCMASTER 8030K572</v>
      </c>
      <c r="H279" s="3" t="s">
        <v>296</v>
      </c>
      <c r="I279" s="3" t="s">
        <v>293</v>
      </c>
      <c r="J279" s="14" t="s">
        <v>51</v>
      </c>
    </row>
    <row r="280" spans="1:11" x14ac:dyDescent="0.25">
      <c r="A280" s="9">
        <v>45577.594398148147</v>
      </c>
      <c r="B280" s="3" t="s">
        <v>357</v>
      </c>
      <c r="C280" s="3" t="s">
        <v>50</v>
      </c>
      <c r="D280" s="12">
        <v>4989133</v>
      </c>
      <c r="F280" s="3" t="str">
        <f t="shared" si="12"/>
        <v>BB01-4989133</v>
      </c>
      <c r="G280" s="3" t="str">
        <f t="shared" si="13"/>
        <v>BB01-4989133, GUSSET BRACKET, 51/64" L, 20MM DUBLE/QUAD RAIL</v>
      </c>
      <c r="H280" s="3" t="s">
        <v>296</v>
      </c>
      <c r="I280" s="3" t="s">
        <v>165</v>
      </c>
      <c r="J280" s="14" t="s">
        <v>51</v>
      </c>
    </row>
    <row r="281" spans="1:11" x14ac:dyDescent="0.25">
      <c r="A281" s="9">
        <v>45577.600844907407</v>
      </c>
      <c r="B281" s="3" t="s">
        <v>439</v>
      </c>
      <c r="C281" s="3" t="s">
        <v>59</v>
      </c>
      <c r="D281" s="12">
        <v>4819072</v>
      </c>
      <c r="F281" s="3" t="str">
        <f t="shared" si="12"/>
        <v>HV01-4819072</v>
      </c>
      <c r="G281" s="3" t="str">
        <f t="shared" si="13"/>
        <v>HV01-4819072, ASSY, MOTOR, MF0255025-C00, ALLIED MOTION</v>
      </c>
      <c r="H281" s="3" t="s">
        <v>438</v>
      </c>
      <c r="I281" s="3" t="s">
        <v>165</v>
      </c>
      <c r="J281" s="14" t="s">
        <v>51</v>
      </c>
    </row>
    <row r="282" spans="1:11" x14ac:dyDescent="0.25">
      <c r="A282" s="9">
        <v>45577.600868055553</v>
      </c>
      <c r="B282" s="3" t="s">
        <v>316</v>
      </c>
      <c r="C282" s="3" t="s">
        <v>50</v>
      </c>
      <c r="D282" s="12">
        <v>4729652</v>
      </c>
      <c r="F282" s="3" t="str">
        <f t="shared" si="12"/>
        <v>BB01-4729652</v>
      </c>
      <c r="G282" s="3" t="str">
        <f t="shared" si="13"/>
        <v>BB01-4729652, CONNECTOR, RJ45, UP-ROTATION, WEIDMULLER 1518080000</v>
      </c>
      <c r="H282" s="3" t="s">
        <v>296</v>
      </c>
      <c r="I282" s="3" t="s">
        <v>293</v>
      </c>
      <c r="J282" s="14" t="s">
        <v>51</v>
      </c>
    </row>
    <row r="283" spans="1:11" x14ac:dyDescent="0.25">
      <c r="A283" s="9">
        <v>45577.606759259259</v>
      </c>
      <c r="B283" s="3" t="s">
        <v>307</v>
      </c>
      <c r="C283" s="3" t="s">
        <v>50</v>
      </c>
      <c r="D283" s="12">
        <v>4716283</v>
      </c>
      <c r="F283" s="3" t="str">
        <f t="shared" si="12"/>
        <v>BB01-4716283</v>
      </c>
      <c r="G283" s="3" t="str">
        <f t="shared" si="13"/>
        <v>BB01-4716283, BUS BAR, HV, MCU JUMPER, TYPE02</v>
      </c>
      <c r="H283" s="3" t="s">
        <v>296</v>
      </c>
      <c r="I283" s="3" t="s">
        <v>293</v>
      </c>
      <c r="J283" s="14" t="s">
        <v>51</v>
      </c>
    </row>
    <row r="284" spans="1:11" x14ac:dyDescent="0.25">
      <c r="A284" s="9">
        <v>45586.72861111111</v>
      </c>
      <c r="B284" s="3" t="s">
        <v>555</v>
      </c>
      <c r="C284" s="3" t="s">
        <v>50</v>
      </c>
      <c r="D284" s="12">
        <v>4675056</v>
      </c>
      <c r="F284" s="3" t="str">
        <f t="shared" si="12"/>
        <v>BB01-4675056</v>
      </c>
      <c r="G284" s="3" t="str">
        <f t="shared" si="13"/>
        <v>BB01-4675056, OUTER DOOR, FORMED, ALU - THK 3.2MM</v>
      </c>
      <c r="H284" s="3" t="s">
        <v>296</v>
      </c>
      <c r="J284" s="14" t="s">
        <v>51</v>
      </c>
      <c r="K284" s="3" t="s">
        <v>413</v>
      </c>
    </row>
    <row r="285" spans="1:11" x14ac:dyDescent="0.25">
      <c r="A285" s="9">
        <v>45587.383726851855</v>
      </c>
      <c r="B285" s="3" t="s">
        <v>382</v>
      </c>
      <c r="C285" s="3" t="s">
        <v>50</v>
      </c>
      <c r="D285" s="12">
        <v>4662170</v>
      </c>
      <c r="F285" s="3" t="str">
        <f t="shared" si="12"/>
        <v>BB01-4662170</v>
      </c>
      <c r="G285" s="3" t="str">
        <f t="shared" si="13"/>
        <v>BB01-4662170, ASSY, HOUSING, 8"x8"x4", STAHLIN DSW80804HPL</v>
      </c>
      <c r="H285" s="3" t="s">
        <v>296</v>
      </c>
      <c r="I285" s="3" t="s">
        <v>293</v>
      </c>
      <c r="J285" s="14" t="s">
        <v>51</v>
      </c>
      <c r="K285" s="3" t="s">
        <v>413</v>
      </c>
    </row>
    <row r="286" spans="1:11" x14ac:dyDescent="0.25">
      <c r="A286" s="9">
        <v>45587.383969907409</v>
      </c>
      <c r="B286" s="3" t="s">
        <v>453</v>
      </c>
      <c r="C286" s="3" t="s">
        <v>59</v>
      </c>
      <c r="D286" s="12">
        <v>4641659</v>
      </c>
      <c r="F286" s="3" t="str">
        <f t="shared" si="12"/>
        <v>HV01-4641659</v>
      </c>
      <c r="G286" s="3" t="str">
        <f t="shared" si="13"/>
        <v>HV01-4641659, BEARING, 254MM ID, 267MM OD, 6.35MM, SA100CP0, SILVERTHIN</v>
      </c>
      <c r="H286" s="3" t="s">
        <v>438</v>
      </c>
      <c r="I286" s="3" t="s">
        <v>293</v>
      </c>
      <c r="J286" s="14" t="s">
        <v>51</v>
      </c>
      <c r="K286" s="3" t="s">
        <v>415</v>
      </c>
    </row>
    <row r="287" spans="1:11" x14ac:dyDescent="0.25">
      <c r="A287" s="9">
        <v>45587.396238425928</v>
      </c>
      <c r="B287" s="3" t="s">
        <v>306</v>
      </c>
      <c r="C287" s="3" t="s">
        <v>50</v>
      </c>
      <c r="D287" s="12">
        <v>4638752</v>
      </c>
      <c r="F287" s="3" t="str">
        <f t="shared" si="12"/>
        <v>BB01-4638752</v>
      </c>
      <c r="G287" s="3" t="str">
        <f t="shared" si="13"/>
        <v>BB01-4638752, BUS BAR, HV, MCU JUMPER, TYPE01</v>
      </c>
      <c r="H287" s="3" t="s">
        <v>296</v>
      </c>
      <c r="I287" s="3" t="s">
        <v>293</v>
      </c>
      <c r="J287" s="14" t="s">
        <v>51</v>
      </c>
    </row>
    <row r="288" spans="1:11" x14ac:dyDescent="0.25">
      <c r="A288" s="9">
        <v>45588.67292824074</v>
      </c>
      <c r="B288" s="3" t="s">
        <v>358</v>
      </c>
      <c r="C288" s="3" t="s">
        <v>50</v>
      </c>
      <c r="D288" s="12">
        <v>4559408</v>
      </c>
      <c r="F288" s="3" t="str">
        <f t="shared" si="12"/>
        <v>BB01-4559408</v>
      </c>
      <c r="G288" s="3" t="str">
        <f t="shared" si="13"/>
        <v>BB01-4559408, END-FEED NUT AND M5 THREAD BUTTON HEAD FOR 20 MM HIGH RAIL</v>
      </c>
      <c r="H288" s="3" t="s">
        <v>296</v>
      </c>
      <c r="I288" s="3" t="s">
        <v>165</v>
      </c>
      <c r="J288" s="14" t="s">
        <v>51</v>
      </c>
      <c r="K288" s="3" t="s">
        <v>415</v>
      </c>
    </row>
    <row r="289" spans="1:11" x14ac:dyDescent="0.25">
      <c r="A289" s="9">
        <v>45588.761979166666</v>
      </c>
      <c r="B289" s="3" t="s">
        <v>366</v>
      </c>
      <c r="C289" s="3" t="s">
        <v>50</v>
      </c>
      <c r="D289" s="12">
        <v>4193926</v>
      </c>
      <c r="F289" s="3" t="str">
        <f t="shared" si="12"/>
        <v>BB01-4193926</v>
      </c>
      <c r="G289" s="3" t="str">
        <f t="shared" si="13"/>
        <v>BB01-4193926, CONNECTOR, SURLOK, 5.7MM, RIGHT ANGLE, SLPPA16BSBR1</v>
      </c>
      <c r="H289" s="3" t="s">
        <v>296</v>
      </c>
      <c r="I289" s="3" t="s">
        <v>293</v>
      </c>
      <c r="J289" s="14" t="s">
        <v>422</v>
      </c>
      <c r="K289" s="3" t="s">
        <v>413</v>
      </c>
    </row>
    <row r="290" spans="1:11" x14ac:dyDescent="0.25">
      <c r="A290" s="9">
        <v>45588.766828703701</v>
      </c>
      <c r="B290" s="3" t="s">
        <v>407</v>
      </c>
      <c r="C290" s="3" t="s">
        <v>50</v>
      </c>
      <c r="D290" s="12">
        <v>4120272</v>
      </c>
      <c r="F290" s="15" t="str">
        <f t="shared" si="12"/>
        <v>BB01-4120272</v>
      </c>
      <c r="G290" s="3" t="str">
        <f t="shared" si="13"/>
        <v>BB01-4120272, BOB, EBOM, ALPHA2</v>
      </c>
      <c r="H290" s="3" t="s">
        <v>405</v>
      </c>
      <c r="I290" s="3" t="s">
        <v>217</v>
      </c>
      <c r="J290" s="14" t="s">
        <v>422</v>
      </c>
      <c r="K290" s="3" t="s">
        <v>413</v>
      </c>
    </row>
    <row r="291" spans="1:11" x14ac:dyDescent="0.25">
      <c r="A291" s="9">
        <v>45588.767835648148</v>
      </c>
      <c r="B291" s="3" t="s">
        <v>215</v>
      </c>
      <c r="C291" s="3" t="s">
        <v>50</v>
      </c>
      <c r="D291" s="12">
        <v>4088806</v>
      </c>
      <c r="F291" s="3" t="str">
        <f t="shared" si="12"/>
        <v>BB01-4088806</v>
      </c>
      <c r="G291" s="3" t="str">
        <f t="shared" si="13"/>
        <v>BB01-4088806, ASSY, DCAC, 80KW, BRIGHTLOOP, ACHV MP, 300VAC</v>
      </c>
      <c r="H291" s="3" t="s">
        <v>296</v>
      </c>
      <c r="I291" s="3" t="s">
        <v>165</v>
      </c>
      <c r="J291" s="14" t="s">
        <v>422</v>
      </c>
      <c r="K291" s="3" t="s">
        <v>413</v>
      </c>
    </row>
    <row r="292" spans="1:11" x14ac:dyDescent="0.25">
      <c r="A292" s="9">
        <v>45589.700335648151</v>
      </c>
      <c r="B292" s="3" t="s">
        <v>368</v>
      </c>
      <c r="C292" s="3" t="s">
        <v>50</v>
      </c>
      <c r="D292" s="12">
        <v>4009351</v>
      </c>
      <c r="F292" s="3" t="str">
        <f t="shared" si="12"/>
        <v>BB01-4009351</v>
      </c>
      <c r="G292" s="3" t="str">
        <f t="shared" si="13"/>
        <v>BB01-4009351, CONNECTOR, SOURIAU, 8STA6-0835PN</v>
      </c>
      <c r="H292" s="3" t="s">
        <v>296</v>
      </c>
      <c r="I292" s="3" t="s">
        <v>293</v>
      </c>
      <c r="J292" s="14" t="s">
        <v>483</v>
      </c>
      <c r="K292" s="3" t="s">
        <v>413</v>
      </c>
    </row>
    <row r="293" spans="1:11" x14ac:dyDescent="0.25">
      <c r="A293" s="9">
        <v>45589.714143518519</v>
      </c>
      <c r="B293" s="3" t="s">
        <v>458</v>
      </c>
      <c r="C293" s="3" t="s">
        <v>59</v>
      </c>
      <c r="D293" s="12">
        <v>3990708</v>
      </c>
      <c r="F293" s="3" t="str">
        <f t="shared" si="12"/>
        <v>HV01-3990708</v>
      </c>
      <c r="G293" s="3" t="str">
        <f t="shared" si="13"/>
        <v>HV01-3990708, ASSY, TURBINE BLADE, HYDROVOLT, TYPE01</v>
      </c>
      <c r="H293" s="3" t="s">
        <v>438</v>
      </c>
      <c r="I293" s="3" t="s">
        <v>293</v>
      </c>
      <c r="J293" s="14" t="s">
        <v>483</v>
      </c>
      <c r="K293" s="3" t="s">
        <v>415</v>
      </c>
    </row>
    <row r="294" spans="1:11" x14ac:dyDescent="0.25">
      <c r="A294" s="9">
        <v>45589.71471064815</v>
      </c>
      <c r="B294" s="3" t="s">
        <v>462</v>
      </c>
      <c r="C294" s="3" t="s">
        <v>59</v>
      </c>
      <c r="D294" s="12">
        <v>3940467</v>
      </c>
      <c r="F294" s="3" t="str">
        <f t="shared" si="12"/>
        <v>HV01-3940467</v>
      </c>
      <c r="G294" s="3" t="str">
        <f t="shared" si="13"/>
        <v>HV01-3940467, DOWEL, SOLID, 1/4" X 5/16", MCMASTER 90145A815</v>
      </c>
      <c r="H294" s="3" t="s">
        <v>438</v>
      </c>
      <c r="I294" s="3" t="s">
        <v>293</v>
      </c>
      <c r="J294" s="14" t="s">
        <v>483</v>
      </c>
      <c r="K294" s="3" t="s">
        <v>415</v>
      </c>
    </row>
    <row r="295" spans="1:11" x14ac:dyDescent="0.25">
      <c r="A295" s="9">
        <v>45589.714745370373</v>
      </c>
      <c r="B295" s="3" t="s">
        <v>448</v>
      </c>
      <c r="C295" s="3" t="s">
        <v>59</v>
      </c>
      <c r="D295" s="12">
        <v>3919363</v>
      </c>
      <c r="F295" s="3" t="str">
        <f t="shared" si="12"/>
        <v>HV01-3919363</v>
      </c>
      <c r="G295" s="3" t="str">
        <f t="shared" si="13"/>
        <v>HV01-3919363, SPRING, BEARING, DYNAMIC REAR, SKF</v>
      </c>
      <c r="H295" s="3" t="s">
        <v>438</v>
      </c>
      <c r="I295" s="3" t="s">
        <v>293</v>
      </c>
      <c r="J295" s="14" t="s">
        <v>483</v>
      </c>
      <c r="K295" s="3" t="s">
        <v>415</v>
      </c>
    </row>
    <row r="296" spans="1:11" x14ac:dyDescent="0.25">
      <c r="A296" s="9">
        <v>45589.723854166667</v>
      </c>
      <c r="B296" s="3" t="s">
        <v>456</v>
      </c>
      <c r="C296" s="3" t="s">
        <v>59</v>
      </c>
      <c r="D296" s="12">
        <v>3902745</v>
      </c>
      <c r="F296" s="3" t="str">
        <f t="shared" si="12"/>
        <v>HV01-3902745</v>
      </c>
      <c r="G296" s="3" t="str">
        <f t="shared" si="13"/>
        <v>HV01-3902745, DOVETAIL, TURBINE, HYDROVOLT</v>
      </c>
      <c r="H296" s="3" t="s">
        <v>438</v>
      </c>
      <c r="I296" s="3" t="s">
        <v>293</v>
      </c>
      <c r="J296" s="14" t="s">
        <v>483</v>
      </c>
      <c r="K296" s="3" t="s">
        <v>413</v>
      </c>
    </row>
    <row r="297" spans="1:11" x14ac:dyDescent="0.25">
      <c r="A297" s="9">
        <v>45589.723877314813</v>
      </c>
      <c r="B297" s="3" t="s">
        <v>311</v>
      </c>
      <c r="C297" s="3" t="s">
        <v>50</v>
      </c>
      <c r="D297" s="12">
        <v>3833923</v>
      </c>
      <c r="F297" s="3" t="str">
        <f t="shared" si="12"/>
        <v>BB01-3833923</v>
      </c>
      <c r="G297" s="3" t="str">
        <f t="shared" si="13"/>
        <v>BB01-3833923, ASSY, FAN, 305MM, BRUSHED, SPAL</v>
      </c>
      <c r="H297" s="3" t="s">
        <v>296</v>
      </c>
      <c r="I297" s="3" t="s">
        <v>293</v>
      </c>
      <c r="J297" s="14" t="s">
        <v>483</v>
      </c>
      <c r="K297" s="3" t="s">
        <v>413</v>
      </c>
    </row>
    <row r="298" spans="1:11" x14ac:dyDescent="0.25">
      <c r="A298" s="9">
        <v>45589.739016203705</v>
      </c>
      <c r="B298" s="3" t="s">
        <v>461</v>
      </c>
      <c r="C298" s="3" t="s">
        <v>59</v>
      </c>
      <c r="D298" s="12">
        <v>3798350</v>
      </c>
      <c r="F298" s="3" t="str">
        <f t="shared" si="12"/>
        <v>HV01-3798350</v>
      </c>
      <c r="G298" s="3" t="str">
        <f t="shared" si="13"/>
        <v>HV01-3798350, PLATE, SCH80 WASHER PLATE, HYDROVOLT</v>
      </c>
      <c r="H298" s="3" t="s">
        <v>438</v>
      </c>
      <c r="I298" s="3" t="s">
        <v>293</v>
      </c>
      <c r="J298" s="14" t="s">
        <v>483</v>
      </c>
      <c r="K298" s="3" t="s">
        <v>413</v>
      </c>
    </row>
    <row r="299" spans="1:11" x14ac:dyDescent="0.25">
      <c r="A299" s="9">
        <v>45589.745995370373</v>
      </c>
      <c r="B299" s="3" t="s">
        <v>414</v>
      </c>
      <c r="C299" s="3" t="s">
        <v>50</v>
      </c>
      <c r="D299" s="12">
        <v>3744499</v>
      </c>
      <c r="F299" s="15" t="str">
        <f t="shared" si="12"/>
        <v>BB01-3744499</v>
      </c>
      <c r="G299" s="3" t="str">
        <f t="shared" si="13"/>
        <v>BB01-3744499, DOMAIN, DISTRIBUTED ELECTRONICS</v>
      </c>
      <c r="H299" s="3" t="s">
        <v>405</v>
      </c>
      <c r="I299" s="3" t="s">
        <v>414</v>
      </c>
      <c r="J299" s="14" t="s">
        <v>483</v>
      </c>
      <c r="K299" s="3" t="s">
        <v>415</v>
      </c>
    </row>
    <row r="300" spans="1:11" x14ac:dyDescent="0.25">
      <c r="A300" s="9">
        <v>45589.753912037035</v>
      </c>
      <c r="B300" s="3" t="s">
        <v>418</v>
      </c>
      <c r="C300" s="3" t="s">
        <v>50</v>
      </c>
      <c r="D300" s="12">
        <v>3729846</v>
      </c>
      <c r="F300" s="15" t="str">
        <f t="shared" si="12"/>
        <v>BB01-3729846</v>
      </c>
      <c r="G300" s="3" t="str">
        <f t="shared" si="13"/>
        <v>BB01-3729846, DOMAIN, POWER ELECTRONICS</v>
      </c>
      <c r="H300" s="3" t="s">
        <v>405</v>
      </c>
      <c r="I300" s="3" t="s">
        <v>418</v>
      </c>
      <c r="J300" s="14" t="s">
        <v>483</v>
      </c>
      <c r="K300" s="3" t="s">
        <v>415</v>
      </c>
    </row>
    <row r="301" spans="1:11" x14ac:dyDescent="0.25">
      <c r="A301" s="9">
        <v>45590.429710648146</v>
      </c>
      <c r="B301" s="3" t="s">
        <v>372</v>
      </c>
      <c r="C301" s="3" t="s">
        <v>50</v>
      </c>
      <c r="D301" s="12">
        <v>3556848</v>
      </c>
      <c r="F301" s="3" t="str">
        <f t="shared" si="12"/>
        <v>BB01-3556848</v>
      </c>
      <c r="G301" s="3" t="str">
        <f t="shared" si="13"/>
        <v>BB01-3556848, BOB, EBOM, ALPHA1</v>
      </c>
      <c r="H301" s="3" t="s">
        <v>296</v>
      </c>
      <c r="I301" s="3" t="s">
        <v>293</v>
      </c>
      <c r="J301" s="14" t="s">
        <v>483</v>
      </c>
      <c r="K301" s="3" t="s">
        <v>413</v>
      </c>
    </row>
    <row r="302" spans="1:11" x14ac:dyDescent="0.25">
      <c r="A302" s="9">
        <v>45590.572696759256</v>
      </c>
      <c r="B302" s="3" t="s">
        <v>371</v>
      </c>
      <c r="C302" s="3" t="s">
        <v>50</v>
      </c>
      <c r="D302" s="12">
        <v>3243609</v>
      </c>
      <c r="F302" s="3" t="str">
        <f t="shared" si="12"/>
        <v>BB01-3243609</v>
      </c>
      <c r="G302" s="3" t="str">
        <f t="shared" si="13"/>
        <v>BB01-3243609, COMPUTE, BCN - BOB CONTROL NODE, ONLOGIC HX511, WALL MOUNT</v>
      </c>
      <c r="H302" s="3" t="s">
        <v>296</v>
      </c>
      <c r="I302" s="3" t="s">
        <v>293</v>
      </c>
      <c r="J302" s="14" t="s">
        <v>51</v>
      </c>
      <c r="K302" s="3" t="s">
        <v>415</v>
      </c>
    </row>
    <row r="303" spans="1:11" x14ac:dyDescent="0.25">
      <c r="A303" s="9">
        <v>45590.586840277778</v>
      </c>
      <c r="B303" s="3" t="s">
        <v>342</v>
      </c>
      <c r="C303" s="3" t="s">
        <v>50</v>
      </c>
      <c r="D303" s="12">
        <v>3066190</v>
      </c>
      <c r="F303" s="3" t="str">
        <f t="shared" si="12"/>
        <v>BB01-3066190</v>
      </c>
      <c r="G303" s="3" t="str">
        <f t="shared" si="13"/>
        <v>BB01-3066190, BOLT, M5 X 20MM, BUTTON HEAD, STEEL, MCMASTER 90942A126</v>
      </c>
      <c r="H303" s="3" t="s">
        <v>296</v>
      </c>
      <c r="I303" s="3" t="s">
        <v>293</v>
      </c>
      <c r="J303" s="14" t="s">
        <v>51</v>
      </c>
      <c r="K303" s="3" t="s">
        <v>415</v>
      </c>
    </row>
    <row r="304" spans="1:11" x14ac:dyDescent="0.25">
      <c r="A304" s="9">
        <v>45590.587939814817</v>
      </c>
      <c r="B304" s="3" t="s">
        <v>292</v>
      </c>
      <c r="C304" s="3" t="s">
        <v>50</v>
      </c>
      <c r="D304" s="12">
        <v>3052801</v>
      </c>
      <c r="F304" s="15" t="str">
        <f t="shared" si="12"/>
        <v>BB01-3052801</v>
      </c>
      <c r="G304" s="3" t="str">
        <f t="shared" si="13"/>
        <v>BB01-3052801, CELL, BATTERY, EVE105</v>
      </c>
      <c r="H304" s="3" t="s">
        <v>227</v>
      </c>
      <c r="I304" s="3" t="s">
        <v>293</v>
      </c>
      <c r="J304" s="14" t="s">
        <v>51</v>
      </c>
      <c r="K304" s="3" t="s">
        <v>415</v>
      </c>
    </row>
    <row r="305" spans="1:11" x14ac:dyDescent="0.25">
      <c r="A305" s="9">
        <v>45590.590243055558</v>
      </c>
      <c r="B305" s="3" t="s">
        <v>398</v>
      </c>
      <c r="C305" s="3" t="s">
        <v>50</v>
      </c>
      <c r="D305" s="12">
        <v>3038278</v>
      </c>
      <c r="F305" s="3" t="str">
        <f t="shared" si="12"/>
        <v>BB01-3038278</v>
      </c>
      <c r="G305" s="3" t="str">
        <f t="shared" si="13"/>
        <v>BB01-3038278, ASSY, BUS BAR, EVE105, POWER CONFIG, 2P5S</v>
      </c>
      <c r="H305" s="3" t="s">
        <v>296</v>
      </c>
      <c r="I305" s="3" t="s">
        <v>293</v>
      </c>
      <c r="J305" s="14" t="s">
        <v>51</v>
      </c>
      <c r="K305" s="3" t="s">
        <v>413</v>
      </c>
    </row>
    <row r="306" spans="1:11" x14ac:dyDescent="0.25">
      <c r="A306" s="9">
        <v>45590.658773148149</v>
      </c>
      <c r="B306" s="3" t="s">
        <v>297</v>
      </c>
      <c r="C306" s="3" t="s">
        <v>50</v>
      </c>
      <c r="D306" s="12">
        <v>2907343</v>
      </c>
      <c r="F306" s="3" t="str">
        <f t="shared" si="12"/>
        <v>BB01-2907343</v>
      </c>
      <c r="G306" s="3" t="str">
        <f t="shared" si="13"/>
        <v>BB01-2907343, ASSY, DCAC, 80KW, BRIGHTLOOP, ACHV MP, 480VAC</v>
      </c>
      <c r="H306" s="3" t="s">
        <v>296</v>
      </c>
      <c r="I306" s="3" t="s">
        <v>165</v>
      </c>
      <c r="J306" s="14" t="s">
        <v>51</v>
      </c>
      <c r="K306" s="3" t="s">
        <v>415</v>
      </c>
    </row>
    <row r="307" spans="1:11" x14ac:dyDescent="0.25">
      <c r="A307" s="9">
        <v>45593.377291666664</v>
      </c>
      <c r="B307" s="3" t="s">
        <v>390</v>
      </c>
      <c r="C307" s="3" t="s">
        <v>50</v>
      </c>
      <c r="D307" s="12">
        <v>2798156</v>
      </c>
      <c r="F307" s="3" t="str">
        <f t="shared" si="12"/>
        <v>BB01-2798156</v>
      </c>
      <c r="G307" s="3" t="str">
        <f t="shared" si="13"/>
        <v>BB01-2798156, CONNECTOR, CAMLOCK, 400A, WHITE, MCMASTER 8030K571</v>
      </c>
      <c r="H307" s="3" t="s">
        <v>296</v>
      </c>
      <c r="I307" s="3" t="s">
        <v>293</v>
      </c>
      <c r="J307" s="14" t="s">
        <v>51</v>
      </c>
      <c r="K307" s="3" t="s">
        <v>505</v>
      </c>
    </row>
    <row r="308" spans="1:11" x14ac:dyDescent="0.25">
      <c r="A308" s="9">
        <v>45593.378368055557</v>
      </c>
      <c r="B308" s="3" t="s">
        <v>326</v>
      </c>
      <c r="C308" s="3" t="s">
        <v>59</v>
      </c>
      <c r="D308" s="12">
        <v>2772283</v>
      </c>
      <c r="F308" s="3" t="str">
        <f t="shared" si="12"/>
        <v>HV01-2772283</v>
      </c>
      <c r="G308" s="3" t="str">
        <f t="shared" si="13"/>
        <v>HV01-2772283, BEARING, 228MM ID, 248MM OD, 12.7MM,JSU090XP0, SILVERTHIN</v>
      </c>
      <c r="H308" s="3" t="s">
        <v>296</v>
      </c>
      <c r="I308" s="3" t="s">
        <v>293</v>
      </c>
      <c r="J308" s="14" t="s">
        <v>51</v>
      </c>
      <c r="K308" s="3" t="s">
        <v>505</v>
      </c>
    </row>
    <row r="309" spans="1:11" x14ac:dyDescent="0.25">
      <c r="A309" s="9">
        <v>45593.378391203703</v>
      </c>
      <c r="B309" s="3" t="s">
        <v>333</v>
      </c>
      <c r="C309" s="3" t="s">
        <v>50</v>
      </c>
      <c r="D309" s="12">
        <v>2639160</v>
      </c>
      <c r="F309" s="3" t="str">
        <f t="shared" si="12"/>
        <v>BB01-2639160</v>
      </c>
      <c r="G309" s="3" t="str">
        <f t="shared" si="13"/>
        <v>BB01-2639160, SPACER, 665MM X 155MM, MICA, MCMASTER 85825K41-BASED</v>
      </c>
      <c r="H309" s="3" t="s">
        <v>296</v>
      </c>
      <c r="I309" s="3" t="s">
        <v>293</v>
      </c>
      <c r="J309" s="14" t="s">
        <v>51</v>
      </c>
      <c r="K309" s="3" t="s">
        <v>505</v>
      </c>
    </row>
    <row r="310" spans="1:11" x14ac:dyDescent="0.25">
      <c r="A310" s="9">
        <v>45593.379490740743</v>
      </c>
      <c r="B310" s="3" t="s">
        <v>420</v>
      </c>
      <c r="C310" s="3" t="s">
        <v>50</v>
      </c>
      <c r="D310" s="12">
        <v>2632216</v>
      </c>
      <c r="F310" s="15" t="str">
        <f t="shared" si="12"/>
        <v>BB01-2632216</v>
      </c>
      <c r="G310" s="3" t="str">
        <f t="shared" si="13"/>
        <v>BB01-2632216, DOMAIN, SAFETY</v>
      </c>
      <c r="H310" s="3" t="s">
        <v>405</v>
      </c>
      <c r="I310" s="3" t="s">
        <v>420</v>
      </c>
      <c r="J310" s="14" t="s">
        <v>51</v>
      </c>
      <c r="K310" s="3" t="s">
        <v>505</v>
      </c>
    </row>
    <row r="311" spans="1:11" x14ac:dyDescent="0.25">
      <c r="A311" s="9">
        <v>45593.379826388889</v>
      </c>
      <c r="B311" s="3" t="s">
        <v>396</v>
      </c>
      <c r="C311" s="3" t="s">
        <v>50</v>
      </c>
      <c r="D311" s="12">
        <v>2545554</v>
      </c>
      <c r="F311" s="3" t="str">
        <f t="shared" ref="F311:F342" si="14">C311&amp;"-"&amp;D311</f>
        <v>BB01-2545554</v>
      </c>
      <c r="G311" s="3" t="str">
        <f t="shared" ref="G311:G342" si="15">CONCATENATE(F311,", ",B311)</f>
        <v>BB01-2545554, FAN, 19CFM, 24V, CFM-7015B-230-295-22</v>
      </c>
      <c r="H311" s="3" t="s">
        <v>296</v>
      </c>
      <c r="I311" s="3" t="s">
        <v>293</v>
      </c>
      <c r="J311" s="14" t="s">
        <v>51</v>
      </c>
      <c r="K311" s="3" t="s">
        <v>505</v>
      </c>
    </row>
    <row r="312" spans="1:11" x14ac:dyDescent="0.25">
      <c r="A312" s="9">
        <v>45593.639085648145</v>
      </c>
      <c r="B312" s="3" t="s">
        <v>308</v>
      </c>
      <c r="C312" s="3" t="s">
        <v>50</v>
      </c>
      <c r="D312" s="12">
        <v>2528708</v>
      </c>
      <c r="F312" s="3" t="str">
        <f t="shared" si="14"/>
        <v>BB01-2528708</v>
      </c>
      <c r="G312" s="3" t="str">
        <f t="shared" si="15"/>
        <v>BB01-2528708, ASSY, DCDC, 4.8kW, BRIGHTLOOP, MPQ_01, 960V To 56V, 4X OUT</v>
      </c>
      <c r="H312" s="3" t="s">
        <v>296</v>
      </c>
      <c r="I312" s="3" t="s">
        <v>165</v>
      </c>
      <c r="J312" s="14" t="s">
        <v>51</v>
      </c>
      <c r="K312" s="3" t="s">
        <v>415</v>
      </c>
    </row>
    <row r="313" spans="1:11" x14ac:dyDescent="0.25">
      <c r="A313" s="9">
        <v>45593.886493055557</v>
      </c>
      <c r="B313" s="3" t="s">
        <v>359</v>
      </c>
      <c r="C313" s="3" t="s">
        <v>50</v>
      </c>
      <c r="D313" s="12">
        <v>2524353</v>
      </c>
      <c r="F313" s="3" t="str">
        <f t="shared" si="14"/>
        <v>BB01-2524353</v>
      </c>
      <c r="G313" s="3" t="str">
        <f t="shared" si="15"/>
        <v>BB01-2524353, TRAY, MODULE SLIDER STRUCTURE, ALPHA</v>
      </c>
      <c r="H313" s="3" t="s">
        <v>296</v>
      </c>
      <c r="I313" s="3" t="s">
        <v>165</v>
      </c>
      <c r="J313" s="14" t="s">
        <v>422</v>
      </c>
      <c r="K313" s="3" t="s">
        <v>415</v>
      </c>
    </row>
    <row r="314" spans="1:11" x14ac:dyDescent="0.25">
      <c r="A314" s="9">
        <v>45593.950115740743</v>
      </c>
      <c r="B314" s="3" t="s">
        <v>362</v>
      </c>
      <c r="C314" s="3" t="s">
        <v>50</v>
      </c>
      <c r="D314" s="12">
        <v>2455159</v>
      </c>
      <c r="F314" s="3" t="str">
        <f t="shared" si="14"/>
        <v>BB01-2455159</v>
      </c>
      <c r="G314" s="3" t="str">
        <f t="shared" si="15"/>
        <v>BB01-2455159, BOLT, M5 X 16MM, BUTTON HEAD, STEEL, MCMASTER 90942A125</v>
      </c>
      <c r="H314" s="3" t="s">
        <v>296</v>
      </c>
      <c r="I314" s="3" t="s">
        <v>293</v>
      </c>
      <c r="J314" s="14" t="s">
        <v>51</v>
      </c>
      <c r="K314" s="3" t="s">
        <v>415</v>
      </c>
    </row>
    <row r="315" spans="1:11" x14ac:dyDescent="0.25">
      <c r="A315" s="9">
        <v>45593.952118055553</v>
      </c>
      <c r="B315" s="3" t="s">
        <v>463</v>
      </c>
      <c r="C315" s="3" t="s">
        <v>59</v>
      </c>
      <c r="D315" s="12">
        <v>2324072</v>
      </c>
      <c r="F315" s="3" t="str">
        <f t="shared" si="14"/>
        <v>HV01-2324072</v>
      </c>
      <c r="G315" s="3" t="str">
        <f t="shared" si="15"/>
        <v>HV01-2324072, BUILD TOOLING, GSE ASSY, HYDROVOLT</v>
      </c>
      <c r="H315" s="3" t="s">
        <v>438</v>
      </c>
      <c r="I315" s="3" t="s">
        <v>165</v>
      </c>
      <c r="J315" s="14" t="s">
        <v>51</v>
      </c>
      <c r="K315" s="3" t="s">
        <v>413</v>
      </c>
    </row>
    <row r="316" spans="1:11" x14ac:dyDescent="0.25">
      <c r="A316" s="9">
        <v>45593.954513888886</v>
      </c>
      <c r="B316" s="3" t="s">
        <v>454</v>
      </c>
      <c r="C316" s="3" t="s">
        <v>59</v>
      </c>
      <c r="D316" s="12">
        <v>2277853</v>
      </c>
      <c r="F316" s="3" t="str">
        <f t="shared" si="14"/>
        <v>HV01-2277853</v>
      </c>
      <c r="G316" s="3" t="str">
        <f t="shared" si="15"/>
        <v>HV01-2277853, BEARING, 200MM ID, 250MM OD, 6.35MM, 61840, SKF</v>
      </c>
      <c r="H316" s="3" t="s">
        <v>438</v>
      </c>
      <c r="I316" s="3" t="s">
        <v>293</v>
      </c>
      <c r="J316" s="14" t="s">
        <v>51</v>
      </c>
      <c r="K316" s="3" t="s">
        <v>415</v>
      </c>
    </row>
    <row r="317" spans="1:11" x14ac:dyDescent="0.25">
      <c r="A317" s="9">
        <v>45593.968333333331</v>
      </c>
      <c r="B317" s="3" t="s">
        <v>303</v>
      </c>
      <c r="C317" s="3" t="s">
        <v>50</v>
      </c>
      <c r="D317" s="12">
        <v>2252138</v>
      </c>
      <c r="F317" s="3" t="str">
        <f t="shared" si="14"/>
        <v>BB01-2252138</v>
      </c>
      <c r="G317" s="3" t="str">
        <f t="shared" si="15"/>
        <v>BB01-2252138, CONTACTOR, HV, HX241BAC, GIGAVAC</v>
      </c>
      <c r="H317" s="3" t="s">
        <v>296</v>
      </c>
      <c r="I317" s="3" t="s">
        <v>293</v>
      </c>
      <c r="J317" s="14" t="s">
        <v>51</v>
      </c>
      <c r="K317" s="3" t="s">
        <v>415</v>
      </c>
    </row>
    <row r="318" spans="1:11" x14ac:dyDescent="0.25">
      <c r="A318" s="9">
        <v>45593.969039351854</v>
      </c>
      <c r="B318" s="3" t="s">
        <v>379</v>
      </c>
      <c r="C318" s="3" t="s">
        <v>50</v>
      </c>
      <c r="D318" s="12">
        <v>2250635</v>
      </c>
      <c r="F318" s="3" t="str">
        <f t="shared" si="14"/>
        <v>BB01-2250635</v>
      </c>
      <c r="G318" s="3" t="str">
        <f t="shared" si="15"/>
        <v>BB01-2250635, CAPACTIOR, HV, 100 uF, C4DENPQ6100A8TK, KEMET</v>
      </c>
      <c r="H318" s="3" t="s">
        <v>296</v>
      </c>
      <c r="I318" s="3" t="s">
        <v>293</v>
      </c>
      <c r="J318" s="14" t="s">
        <v>483</v>
      </c>
      <c r="K318" s="3" t="s">
        <v>413</v>
      </c>
    </row>
    <row r="319" spans="1:11" x14ac:dyDescent="0.25">
      <c r="A319" s="9">
        <v>45593.9690625</v>
      </c>
      <c r="B319" s="3" t="s">
        <v>320</v>
      </c>
      <c r="C319" s="3" t="s">
        <v>50</v>
      </c>
      <c r="D319" s="12">
        <v>2178775</v>
      </c>
      <c r="F319" s="3" t="str">
        <f t="shared" si="14"/>
        <v>BB01-2178775</v>
      </c>
      <c r="G319" s="3" t="str">
        <f t="shared" si="15"/>
        <v>BB01-2178775, CONNECTOR, RJ45, BUS-TERMINATOR, L-COM, MOD27T</v>
      </c>
      <c r="H319" s="3" t="s">
        <v>296</v>
      </c>
      <c r="I319" s="3" t="s">
        <v>293</v>
      </c>
      <c r="J319" s="14" t="s">
        <v>483</v>
      </c>
      <c r="K319" s="3" t="s">
        <v>413</v>
      </c>
    </row>
    <row r="320" spans="1:11" x14ac:dyDescent="0.25">
      <c r="A320" s="9">
        <v>45594.370381944442</v>
      </c>
      <c r="B320" s="3" t="s">
        <v>559</v>
      </c>
      <c r="C320" s="3" t="s">
        <v>50</v>
      </c>
      <c r="D320" s="12">
        <v>2060200</v>
      </c>
      <c r="F320" s="3" t="str">
        <f t="shared" si="14"/>
        <v>BB01-2060200</v>
      </c>
      <c r="G320" s="3" t="str">
        <f t="shared" si="15"/>
        <v>BB01-2060200, PEM STUD SS, M4 X 18 MM, MCMASTER 93580A725</v>
      </c>
      <c r="H320" s="3" t="s">
        <v>296</v>
      </c>
      <c r="J320" s="14" t="s">
        <v>51</v>
      </c>
      <c r="K320" s="3" t="s">
        <v>520</v>
      </c>
    </row>
    <row r="321" spans="1:11" x14ac:dyDescent="0.25">
      <c r="A321" s="9">
        <v>45594.371562499997</v>
      </c>
      <c r="B321" s="3" t="s">
        <v>552</v>
      </c>
      <c r="C321" s="3" t="s">
        <v>59</v>
      </c>
      <c r="D321" s="12">
        <v>2029223</v>
      </c>
      <c r="F321" s="3" t="str">
        <f t="shared" si="14"/>
        <v>HV01-2029223</v>
      </c>
      <c r="G321" s="3" t="str">
        <f t="shared" si="15"/>
        <v>HV01-2029223, DELRING ROD, MACHINED, BUILD TOOLING, HYDROVOLT</v>
      </c>
      <c r="J321" s="14" t="s">
        <v>51</v>
      </c>
      <c r="K321" s="3" t="s">
        <v>413</v>
      </c>
    </row>
    <row r="322" spans="1:11" x14ac:dyDescent="0.25">
      <c r="A322" s="9">
        <v>45594.589965277781</v>
      </c>
      <c r="B322" s="3" t="s">
        <v>385</v>
      </c>
      <c r="C322" s="3" t="s">
        <v>50</v>
      </c>
      <c r="D322" s="12">
        <v>1980905</v>
      </c>
      <c r="F322" s="3" t="str">
        <f t="shared" si="14"/>
        <v>BB01-1980905</v>
      </c>
      <c r="G322" s="3" t="str">
        <f t="shared" si="15"/>
        <v>BB01-1980905, CONNECTOR, CAMLOCK, 400A, BLUE, MCMASTER 8030K574</v>
      </c>
      <c r="H322" s="3" t="s">
        <v>296</v>
      </c>
      <c r="I322" s="3" t="s">
        <v>293</v>
      </c>
      <c r="J322" s="14" t="s">
        <v>51</v>
      </c>
      <c r="K322" s="3" t="s">
        <v>520</v>
      </c>
    </row>
    <row r="323" spans="1:11" x14ac:dyDescent="0.25">
      <c r="A323" s="9">
        <v>45594.724131944444</v>
      </c>
      <c r="B323" s="3" t="s">
        <v>558</v>
      </c>
      <c r="C323" s="3" t="s">
        <v>50</v>
      </c>
      <c r="D323" s="12">
        <v>1980358</v>
      </c>
      <c r="F323" s="3" t="str">
        <f t="shared" si="14"/>
        <v>BB01-1980358</v>
      </c>
      <c r="G323" s="3" t="str">
        <f t="shared" si="15"/>
        <v>BB01-1980358, CAMLOCK, FORMED, ALU - THK 3.2MM</v>
      </c>
      <c r="H323" s="3" t="s">
        <v>296</v>
      </c>
      <c r="J323" s="14" t="s">
        <v>51</v>
      </c>
      <c r="K323" s="3" t="s">
        <v>413</v>
      </c>
    </row>
    <row r="324" spans="1:11" x14ac:dyDescent="0.25">
      <c r="A324" s="9">
        <v>45595.363391203704</v>
      </c>
      <c r="B324" s="3" t="s">
        <v>399</v>
      </c>
      <c r="C324" s="3" t="s">
        <v>50</v>
      </c>
      <c r="D324" s="12">
        <v>1957590</v>
      </c>
      <c r="F324" s="3" t="str">
        <f t="shared" si="14"/>
        <v>BB01-1957590</v>
      </c>
      <c r="G324" s="3" t="str">
        <f t="shared" si="15"/>
        <v>BB01-1957590, BUS BAR, BRICK, EVE105, POWER CONFIG, 2P5S, SINGLE</v>
      </c>
      <c r="H324" s="3" t="s">
        <v>296</v>
      </c>
      <c r="I324" s="3" t="s">
        <v>293</v>
      </c>
      <c r="J324" s="14" t="s">
        <v>51</v>
      </c>
      <c r="K324" s="3" t="s">
        <v>520</v>
      </c>
    </row>
    <row r="325" spans="1:11" x14ac:dyDescent="0.25">
      <c r="A325" s="9">
        <v>45595.365474537037</v>
      </c>
      <c r="B325" s="3" t="s">
        <v>313</v>
      </c>
      <c r="C325" s="3" t="s">
        <v>50</v>
      </c>
      <c r="D325" s="12">
        <v>1881877</v>
      </c>
      <c r="F325" s="3" t="str">
        <f t="shared" si="14"/>
        <v>BB01-1881877</v>
      </c>
      <c r="G325" s="3" t="str">
        <f t="shared" si="15"/>
        <v>BB01-1881877, STANDOFF, DIELECTRIC, 15MM X 80MM, FR4</v>
      </c>
      <c r="H325" s="3" t="s">
        <v>296</v>
      </c>
      <c r="I325" s="3" t="s">
        <v>293</v>
      </c>
      <c r="J325" s="14" t="s">
        <v>51</v>
      </c>
      <c r="K325" s="3" t="s">
        <v>520</v>
      </c>
    </row>
    <row r="326" spans="1:11" x14ac:dyDescent="0.25">
      <c r="A326" s="9">
        <v>45595.365578703706</v>
      </c>
      <c r="B326" s="3" t="s">
        <v>324</v>
      </c>
      <c r="C326" s="3" t="s">
        <v>50</v>
      </c>
      <c r="D326" s="12">
        <v>1829819</v>
      </c>
      <c r="F326" s="3" t="str">
        <f t="shared" si="14"/>
        <v>BB01-1829819</v>
      </c>
      <c r="G326" s="3" t="str">
        <f t="shared" si="15"/>
        <v>BB01-1829819, HEAT EXCHANGER, 0.3M X 0.8M X 0.05M</v>
      </c>
      <c r="H326" s="3" t="s">
        <v>296</v>
      </c>
      <c r="I326" s="3" t="s">
        <v>293</v>
      </c>
      <c r="J326" s="14" t="s">
        <v>51</v>
      </c>
      <c r="K326" s="3" t="s">
        <v>520</v>
      </c>
    </row>
    <row r="327" spans="1:11" x14ac:dyDescent="0.25">
      <c r="A327" s="9">
        <v>45595.365590277775</v>
      </c>
      <c r="B327" s="3" t="s">
        <v>364</v>
      </c>
      <c r="C327" s="3" t="s">
        <v>50</v>
      </c>
      <c r="D327" s="12">
        <v>1802751</v>
      </c>
      <c r="F327" s="3" t="str">
        <f t="shared" si="14"/>
        <v>BB01-1802751</v>
      </c>
      <c r="G327" s="3" t="str">
        <f t="shared" si="15"/>
        <v>BB01-1802751, MOUNT, TY-WRAP, TC105</v>
      </c>
      <c r="H327" s="3" t="s">
        <v>296</v>
      </c>
      <c r="I327" s="3" t="s">
        <v>293</v>
      </c>
      <c r="J327" s="14" t="s">
        <v>51</v>
      </c>
      <c r="K327" s="3" t="s">
        <v>520</v>
      </c>
    </row>
    <row r="328" spans="1:11" x14ac:dyDescent="0.25">
      <c r="A328" s="9">
        <v>45595.365601851852</v>
      </c>
      <c r="B328" s="3" t="s">
        <v>328</v>
      </c>
      <c r="C328" s="3" t="s">
        <v>50</v>
      </c>
      <c r="D328" s="12">
        <v>1789820</v>
      </c>
      <c r="F328" s="3" t="str">
        <f t="shared" si="14"/>
        <v>BB01-1789820</v>
      </c>
      <c r="G328" s="3" t="str">
        <f t="shared" si="15"/>
        <v>BB01-1789820, FOAM, 194MM X 129MM, PORON, MCMASTER 86375K133-BASED</v>
      </c>
      <c r="H328" s="3" t="s">
        <v>296</v>
      </c>
      <c r="I328" s="3" t="s">
        <v>293</v>
      </c>
      <c r="J328" s="14" t="s">
        <v>51</v>
      </c>
      <c r="K328" s="3" t="s">
        <v>520</v>
      </c>
    </row>
    <row r="329" spans="1:11" x14ac:dyDescent="0.25">
      <c r="A329" s="9">
        <v>45596.364884259259</v>
      </c>
      <c r="B329" s="3" t="s">
        <v>299</v>
      </c>
      <c r="C329" s="3" t="s">
        <v>50</v>
      </c>
      <c r="D329" s="12">
        <v>1787504</v>
      </c>
      <c r="F329" s="3" t="str">
        <f t="shared" si="14"/>
        <v>BB01-1787504</v>
      </c>
      <c r="G329" s="3" t="str">
        <f t="shared" si="15"/>
        <v>BB01-1787504, ASSY, DCDC, 1.7KW, BRIGHTLOOP, BBSP, 48V</v>
      </c>
      <c r="H329" s="3" t="s">
        <v>296</v>
      </c>
      <c r="I329" s="3" t="s">
        <v>165</v>
      </c>
      <c r="J329" s="14" t="s">
        <v>51</v>
      </c>
      <c r="K329" s="3" t="s">
        <v>520</v>
      </c>
    </row>
    <row r="330" spans="1:11" x14ac:dyDescent="0.25">
      <c r="A330" s="9">
        <v>45596.913738425923</v>
      </c>
      <c r="B330" s="3" t="s">
        <v>325</v>
      </c>
      <c r="C330" s="3" t="s">
        <v>50</v>
      </c>
      <c r="D330" s="12">
        <v>1778682</v>
      </c>
      <c r="F330" s="3" t="str">
        <f t="shared" si="14"/>
        <v>BB01-1778682</v>
      </c>
      <c r="G330" s="3" t="str">
        <f t="shared" si="15"/>
        <v>BB01-1778682, BOB, MBOM, ALPHA, CONFIG 01.1</v>
      </c>
      <c r="H330" s="3" t="s">
        <v>296</v>
      </c>
      <c r="I330" s="3" t="s">
        <v>165</v>
      </c>
      <c r="J330" s="14" t="s">
        <v>422</v>
      </c>
      <c r="K330" s="3" t="s">
        <v>394</v>
      </c>
    </row>
    <row r="331" spans="1:11" x14ac:dyDescent="0.25">
      <c r="A331" s="9">
        <v>45596.913819444446</v>
      </c>
      <c r="B331" s="3" t="s">
        <v>381</v>
      </c>
      <c r="C331" s="3" t="s">
        <v>50</v>
      </c>
      <c r="D331" s="12">
        <v>1773949</v>
      </c>
      <c r="F331" s="3" t="str">
        <f t="shared" si="14"/>
        <v>BB01-1773949</v>
      </c>
      <c r="G331" s="3" t="str">
        <f t="shared" si="15"/>
        <v>BB01-1773949, ASSY, HVCC BOX, HV CONTACTOR AND CAP BOX, ALPHA</v>
      </c>
      <c r="H331" s="3" t="s">
        <v>296</v>
      </c>
      <c r="I331" s="3" t="s">
        <v>293</v>
      </c>
      <c r="J331" s="14" t="s">
        <v>422</v>
      </c>
      <c r="K331" s="3" t="s">
        <v>394</v>
      </c>
    </row>
    <row r="332" spans="1:11" x14ac:dyDescent="0.25">
      <c r="A332" s="9">
        <v>45597.443668981483</v>
      </c>
      <c r="B332" s="3" t="s">
        <v>317</v>
      </c>
      <c r="C332" s="3" t="s">
        <v>50</v>
      </c>
      <c r="D332" s="12">
        <v>1678883</v>
      </c>
      <c r="F332" s="3" t="str">
        <f t="shared" si="14"/>
        <v>BB01-1678883</v>
      </c>
      <c r="G332" s="3" t="str">
        <f t="shared" si="15"/>
        <v>BB01-1678883, CONNECTOR, RJ45, DN-ROTATION, WEIDMULLER 1518080000</v>
      </c>
      <c r="H332" s="3" t="s">
        <v>296</v>
      </c>
      <c r="I332" s="3" t="s">
        <v>293</v>
      </c>
      <c r="J332" s="14" t="s">
        <v>51</v>
      </c>
      <c r="K332" s="3" t="s">
        <v>520</v>
      </c>
    </row>
    <row r="333" spans="1:11" x14ac:dyDescent="0.25">
      <c r="A333" s="9">
        <v>45597.576365740744</v>
      </c>
      <c r="B333" s="3" t="s">
        <v>421</v>
      </c>
      <c r="C333" s="3" t="s">
        <v>50</v>
      </c>
      <c r="D333" s="12">
        <v>1614104</v>
      </c>
      <c r="F333" s="15" t="str">
        <f t="shared" si="14"/>
        <v>BB01-1614104</v>
      </c>
      <c r="G333" s="3" t="str">
        <f t="shared" si="15"/>
        <v>BB01-1614104, DOMAIN, STRUCTURES</v>
      </c>
      <c r="H333" s="3" t="s">
        <v>405</v>
      </c>
      <c r="I333" s="3" t="s">
        <v>421</v>
      </c>
      <c r="J333" s="14" t="s">
        <v>51</v>
      </c>
      <c r="K333" s="3" t="s">
        <v>520</v>
      </c>
    </row>
    <row r="334" spans="1:11" x14ac:dyDescent="0.25">
      <c r="A334" s="9">
        <v>45597.578090277777</v>
      </c>
      <c r="B334" s="3" t="s">
        <v>442</v>
      </c>
      <c r="C334" s="3" t="s">
        <v>59</v>
      </c>
      <c r="D334" s="12">
        <v>1600852</v>
      </c>
      <c r="F334" s="3" t="str">
        <f t="shared" si="14"/>
        <v>HV01-1600852</v>
      </c>
      <c r="G334" s="3" t="str">
        <f t="shared" si="15"/>
        <v>HV01-1600852, BEARING, 220MM ID, 270MM OD, 24MM, 61844, SKF</v>
      </c>
      <c r="H334" s="3" t="s">
        <v>438</v>
      </c>
      <c r="I334" s="3" t="s">
        <v>165</v>
      </c>
      <c r="J334" s="14" t="s">
        <v>51</v>
      </c>
      <c r="K334" s="3" t="s">
        <v>394</v>
      </c>
    </row>
    <row r="335" spans="1:11" x14ac:dyDescent="0.25">
      <c r="A335" s="9">
        <v>45597.578090277777</v>
      </c>
      <c r="B335" s="3" t="s">
        <v>327</v>
      </c>
      <c r="C335" s="3" t="s">
        <v>50</v>
      </c>
      <c r="D335" s="12">
        <v>1595503</v>
      </c>
      <c r="F335" s="3" t="str">
        <f t="shared" si="14"/>
        <v>BB01-1595503</v>
      </c>
      <c r="G335" s="3" t="str">
        <f t="shared" si="15"/>
        <v>BB01-1595503, SPACER, 194MM X 129MM, MICA, MCMASTER 85825K41-BASED</v>
      </c>
      <c r="H335" s="3" t="s">
        <v>296</v>
      </c>
      <c r="I335" s="3" t="s">
        <v>293</v>
      </c>
      <c r="J335" s="14" t="s">
        <v>51</v>
      </c>
      <c r="K335" s="3" t="s">
        <v>394</v>
      </c>
    </row>
    <row r="336" spans="1:11" x14ac:dyDescent="0.25">
      <c r="A336" s="9">
        <v>45597.583831018521</v>
      </c>
      <c r="B336" s="3" t="s">
        <v>315</v>
      </c>
      <c r="C336" s="3" t="s">
        <v>50</v>
      </c>
      <c r="D336" s="12">
        <v>1565461</v>
      </c>
      <c r="F336" s="3" t="str">
        <f t="shared" si="14"/>
        <v>BB01-1565461</v>
      </c>
      <c r="G336" s="3" t="str">
        <f t="shared" si="15"/>
        <v>BB01-1565461, CONNECTOR, RJ45, MCMASTER 4172T191</v>
      </c>
      <c r="H336" s="3" t="s">
        <v>296</v>
      </c>
      <c r="I336" s="3" t="s">
        <v>293</v>
      </c>
      <c r="J336" s="14" t="s">
        <v>51</v>
      </c>
      <c r="K336" s="3" t="s">
        <v>394</v>
      </c>
    </row>
    <row r="337" spans="1:11" x14ac:dyDescent="0.25">
      <c r="A337" s="9">
        <v>45597.669618055559</v>
      </c>
      <c r="B337" s="3" t="s">
        <v>451</v>
      </c>
      <c r="C337" s="3" t="s">
        <v>59</v>
      </c>
      <c r="D337" s="12">
        <v>1528492</v>
      </c>
      <c r="F337" s="3" t="str">
        <f t="shared" si="14"/>
        <v>HV01-1528492</v>
      </c>
      <c r="G337" s="3" t="str">
        <f t="shared" si="15"/>
        <v>HV01-1528492, BEARING, 190MM ID, 240MM OD, 24MM, 61838, SKF</v>
      </c>
      <c r="H337" s="3" t="s">
        <v>438</v>
      </c>
      <c r="I337" s="3" t="s">
        <v>293</v>
      </c>
      <c r="J337" s="14" t="s">
        <v>51</v>
      </c>
      <c r="K337" s="3" t="s">
        <v>394</v>
      </c>
    </row>
    <row r="338" spans="1:11" x14ac:dyDescent="0.25">
      <c r="A338" s="9">
        <v>45602.260393518518</v>
      </c>
      <c r="B338" s="3" t="s">
        <v>387</v>
      </c>
      <c r="C338" s="3" t="s">
        <v>50</v>
      </c>
      <c r="D338" s="12">
        <v>1517668</v>
      </c>
      <c r="F338" s="3" t="str">
        <f t="shared" si="14"/>
        <v>BB01-1517668</v>
      </c>
      <c r="G338" s="3" t="str">
        <f t="shared" si="15"/>
        <v>BB01-1517668, CONNECTOR, CAMLOCK, 400A, GREEN, MCMASTER 8030K575</v>
      </c>
      <c r="H338" s="3" t="s">
        <v>296</v>
      </c>
      <c r="I338" s="3" t="s">
        <v>293</v>
      </c>
      <c r="J338" s="14" t="s">
        <v>422</v>
      </c>
      <c r="K338" s="3" t="s">
        <v>394</v>
      </c>
    </row>
    <row r="339" spans="1:11" x14ac:dyDescent="0.25">
      <c r="A339" s="9">
        <v>45602.29519675926</v>
      </c>
      <c r="B339" s="3" t="s">
        <v>355</v>
      </c>
      <c r="C339" s="3" t="s">
        <v>50</v>
      </c>
      <c r="D339" s="12">
        <v>1460892</v>
      </c>
      <c r="F339" s="3" t="str">
        <f t="shared" si="14"/>
        <v>BB01-1460892</v>
      </c>
      <c r="G339" s="3" t="str">
        <f t="shared" si="15"/>
        <v>BB01-1460892, SLIDER, STRUCTURE, ALPHA, TIPO 2</v>
      </c>
      <c r="H339" s="3" t="s">
        <v>296</v>
      </c>
      <c r="I339" s="3" t="s">
        <v>165</v>
      </c>
      <c r="J339" s="14" t="s">
        <v>51</v>
      </c>
      <c r="K339" s="3" t="s">
        <v>413</v>
      </c>
    </row>
    <row r="340" spans="1:11" x14ac:dyDescent="0.25">
      <c r="A340" s="9">
        <v>45602.297650462962</v>
      </c>
      <c r="B340" s="3" t="s">
        <v>553</v>
      </c>
      <c r="C340" s="3" t="s">
        <v>50</v>
      </c>
      <c r="D340" s="12">
        <v>1399278</v>
      </c>
      <c r="F340" s="3" t="str">
        <f t="shared" si="14"/>
        <v>BB01-1399278</v>
      </c>
      <c r="G340" s="3" t="str">
        <f t="shared" si="15"/>
        <v>BB01-1399278, EMERGENCY STOP, 3 POLES, SOBEK Z-I 2005 0049</v>
      </c>
      <c r="H340" s="3" t="s">
        <v>296</v>
      </c>
      <c r="J340" s="14" t="s">
        <v>51</v>
      </c>
      <c r="K340" s="3" t="s">
        <v>415</v>
      </c>
    </row>
    <row r="341" spans="1:11" x14ac:dyDescent="0.25">
      <c r="A341" s="9">
        <v>45602.607291666667</v>
      </c>
      <c r="B341" s="3" t="s">
        <v>345</v>
      </c>
      <c r="C341" s="3" t="s">
        <v>50</v>
      </c>
      <c r="D341" s="12">
        <v>1340780</v>
      </c>
      <c r="F341" s="3" t="str">
        <f t="shared" si="14"/>
        <v>BB01-1340780</v>
      </c>
      <c r="G341" s="3" t="str">
        <f t="shared" si="15"/>
        <v>BB01-1340780, BOLT, M4 X 8MM, BUTTON HEAD, STEEL, MCMASTER 90304A316</v>
      </c>
      <c r="H341" s="3" t="s">
        <v>296</v>
      </c>
      <c r="I341" s="3" t="s">
        <v>293</v>
      </c>
      <c r="J341" s="14" t="s">
        <v>51</v>
      </c>
      <c r="K341" s="3" t="s">
        <v>415</v>
      </c>
    </row>
    <row r="342" spans="1:11" x14ac:dyDescent="0.25">
      <c r="A342" s="9">
        <v>45602.629594907405</v>
      </c>
      <c r="B342" s="3" t="s">
        <v>346</v>
      </c>
      <c r="C342" s="3" t="s">
        <v>50</v>
      </c>
      <c r="D342" s="12">
        <v>1258501</v>
      </c>
      <c r="F342" s="3" t="str">
        <f t="shared" si="14"/>
        <v>BB01-1258501</v>
      </c>
      <c r="G342" s="3" t="str">
        <f t="shared" si="15"/>
        <v>BB01-1258501, WASHER, M4 X 1MM, COARSE, MCMASTER 98269A430</v>
      </c>
      <c r="H342" s="3" t="s">
        <v>296</v>
      </c>
      <c r="I342" s="3" t="s">
        <v>293</v>
      </c>
      <c r="J342" s="14" t="s">
        <v>483</v>
      </c>
      <c r="K342" s="3" t="s">
        <v>520</v>
      </c>
    </row>
    <row r="343" spans="1:11" x14ac:dyDescent="0.25">
      <c r="A343" s="9">
        <v>45602.629675925928</v>
      </c>
      <c r="B343" s="3" t="s">
        <v>370</v>
      </c>
      <c r="C343" s="3" t="s">
        <v>50</v>
      </c>
      <c r="D343" s="12">
        <v>1232845</v>
      </c>
      <c r="F343" s="3" t="str">
        <f t="shared" ref="F343:F355" si="16">C343&amp;"-"&amp;D343</f>
        <v>BB01-1232845</v>
      </c>
      <c r="G343" s="3" t="str">
        <f t="shared" ref="G343:G354" si="17">CONCATENATE(F343,", ",B343)</f>
        <v>BB01-1232845, COUPLING, AW 994-10D, ADEL WIGGINS</v>
      </c>
      <c r="H343" s="3" t="s">
        <v>296</v>
      </c>
      <c r="I343" s="3" t="s">
        <v>293</v>
      </c>
      <c r="J343" s="14" t="s">
        <v>483</v>
      </c>
      <c r="K343" s="3" t="s">
        <v>520</v>
      </c>
    </row>
    <row r="344" spans="1:11" x14ac:dyDescent="0.25">
      <c r="A344" s="9">
        <v>45602.629826388889</v>
      </c>
      <c r="B344" s="3" t="s">
        <v>341</v>
      </c>
      <c r="C344" s="3" t="s">
        <v>50</v>
      </c>
      <c r="D344" s="12">
        <v>1224892</v>
      </c>
      <c r="F344" s="3" t="str">
        <f t="shared" si="16"/>
        <v>BB01-1224892</v>
      </c>
      <c r="G344" s="3" t="str">
        <f t="shared" si="17"/>
        <v>BB01-1224892, STANDOFF, DIELECTRIC, 12MM X 156.5MM, FR4</v>
      </c>
      <c r="H344" s="3" t="s">
        <v>296</v>
      </c>
      <c r="I344" s="3" t="s">
        <v>293</v>
      </c>
      <c r="J344" s="14" t="s">
        <v>483</v>
      </c>
      <c r="K344" s="3" t="s">
        <v>394</v>
      </c>
    </row>
    <row r="345" spans="1:11" x14ac:dyDescent="0.25">
      <c r="A345" s="9">
        <v>45602.629884259259</v>
      </c>
      <c r="B345" s="3" t="s">
        <v>374</v>
      </c>
      <c r="C345" s="3" t="s">
        <v>50</v>
      </c>
      <c r="D345" s="12">
        <v>1163668</v>
      </c>
      <c r="F345" s="3" t="str">
        <f t="shared" si="16"/>
        <v>BB01-1163668</v>
      </c>
      <c r="G345" s="3" t="str">
        <f t="shared" si="17"/>
        <v>BB01-1163668, ASSY, CHASSIS, ALPHA1</v>
      </c>
      <c r="H345" s="3" t="s">
        <v>296</v>
      </c>
      <c r="I345" s="3" t="s">
        <v>293</v>
      </c>
      <c r="J345" s="14" t="s">
        <v>483</v>
      </c>
      <c r="K345" s="3" t="s">
        <v>394</v>
      </c>
    </row>
    <row r="346" spans="1:11" x14ac:dyDescent="0.25">
      <c r="A346" s="9">
        <v>45602.629953703705</v>
      </c>
      <c r="B346" s="3" t="s">
        <v>447</v>
      </c>
      <c r="C346" s="3" t="s">
        <v>59</v>
      </c>
      <c r="D346" s="12">
        <v>1132972</v>
      </c>
      <c r="F346" s="3" t="str">
        <f t="shared" si="16"/>
        <v>HV01-1132972</v>
      </c>
      <c r="G346" s="3" t="str">
        <f t="shared" si="17"/>
        <v>HV01-1132972, SEAL, BEARING, DYNAMIC, REAR, SKF</v>
      </c>
      <c r="H346" s="3" t="s">
        <v>438</v>
      </c>
      <c r="I346" s="3" t="s">
        <v>293</v>
      </c>
      <c r="J346" s="14" t="s">
        <v>483</v>
      </c>
      <c r="K346" s="3" t="s">
        <v>394</v>
      </c>
    </row>
    <row r="347" spans="1:11" x14ac:dyDescent="0.25">
      <c r="A347" s="9">
        <v>45602.629988425928</v>
      </c>
      <c r="B347" s="3" t="s">
        <v>323</v>
      </c>
      <c r="C347" s="3" t="s">
        <v>50</v>
      </c>
      <c r="D347" s="12">
        <v>1065689</v>
      </c>
      <c r="F347" s="3" t="str">
        <f t="shared" si="16"/>
        <v>BB01-1065689</v>
      </c>
      <c r="G347" s="3" t="str">
        <f t="shared" si="17"/>
        <v>BB01-1065689, PLATE, LATERAL DOUBLE, MCU, FR4, TYPE02</v>
      </c>
      <c r="H347" s="3" t="s">
        <v>296</v>
      </c>
      <c r="I347" s="3" t="s">
        <v>293</v>
      </c>
      <c r="J347" s="14" t="s">
        <v>483</v>
      </c>
      <c r="K347" s="3" t="s">
        <v>394</v>
      </c>
    </row>
    <row r="348" spans="1:11" x14ac:dyDescent="0.25">
      <c r="A348" s="9">
        <v>45602.630046296297</v>
      </c>
      <c r="B348" s="3" t="s">
        <v>395</v>
      </c>
      <c r="C348" s="3" t="s">
        <v>50</v>
      </c>
      <c r="D348" s="12">
        <v>1007493</v>
      </c>
      <c r="F348" s="3" t="str">
        <f t="shared" si="16"/>
        <v>BB01-1007493</v>
      </c>
      <c r="G348" s="3" t="str">
        <f t="shared" si="17"/>
        <v>BB01-1007493, ASSY, BATTERY, 48V, 2.0 kWHr, ABS 100000</v>
      </c>
      <c r="H348" s="3" t="s">
        <v>296</v>
      </c>
      <c r="I348" s="3" t="s">
        <v>293</v>
      </c>
      <c r="J348" s="14" t="s">
        <v>483</v>
      </c>
      <c r="K348" s="3" t="s">
        <v>520</v>
      </c>
    </row>
    <row r="349" spans="1:11" x14ac:dyDescent="0.25">
      <c r="A349" s="9">
        <v>45604.684965277775</v>
      </c>
      <c r="B349" s="3" t="s">
        <v>581</v>
      </c>
      <c r="C349" s="3" t="s">
        <v>59</v>
      </c>
      <c r="D349" s="12">
        <v>3171942</v>
      </c>
      <c r="F349" s="3" t="str">
        <f t="shared" si="16"/>
        <v>HV01-3171942</v>
      </c>
      <c r="G349" s="3" t="str">
        <f t="shared" si="17"/>
        <v>HV01-3171942, WASHER, M5 X 2.5MM, NORDLOCK, MCMASTER 91812A227</v>
      </c>
      <c r="H349" s="3" t="s">
        <v>438</v>
      </c>
      <c r="I349" s="3" t="s">
        <v>293</v>
      </c>
      <c r="J349" s="14" t="s">
        <v>51</v>
      </c>
      <c r="K349" s="3" t="s">
        <v>520</v>
      </c>
    </row>
    <row r="350" spans="1:11" x14ac:dyDescent="0.25">
      <c r="A350" s="9">
        <v>45604.691180555557</v>
      </c>
      <c r="B350" s="3" t="s">
        <v>582</v>
      </c>
      <c r="C350" s="3" t="s">
        <v>59</v>
      </c>
      <c r="D350" s="12">
        <v>6590024</v>
      </c>
      <c r="F350" s="3" t="str">
        <f t="shared" si="16"/>
        <v>HV01-6590024</v>
      </c>
      <c r="G350" s="3" t="str">
        <f t="shared" si="17"/>
        <v>HV01-6590024, BOLT, SHOULDER, M4 X 20MM, MCMASTER 90318A830</v>
      </c>
      <c r="H350" s="3" t="s">
        <v>438</v>
      </c>
      <c r="I350" s="3" t="s">
        <v>293</v>
      </c>
      <c r="J350" s="14" t="s">
        <v>51</v>
      </c>
      <c r="K350" s="3" t="s">
        <v>520</v>
      </c>
    </row>
    <row r="351" spans="1:11" x14ac:dyDescent="0.25">
      <c r="A351" s="9">
        <v>45604.711481481485</v>
      </c>
      <c r="B351" s="3" t="s">
        <v>583</v>
      </c>
      <c r="C351" s="3" t="s">
        <v>59</v>
      </c>
      <c r="D351" s="12">
        <v>9414381</v>
      </c>
      <c r="F351" s="3" t="str">
        <f t="shared" si="16"/>
        <v>HV01-9414381</v>
      </c>
      <c r="G351" s="3" t="str">
        <f t="shared" si="17"/>
        <v>HV01-9414381, BLADE, TURBINE, HYDROVOLT, TYPE03</v>
      </c>
      <c r="H351" s="3" t="s">
        <v>438</v>
      </c>
      <c r="I351" s="3" t="s">
        <v>293</v>
      </c>
      <c r="J351" s="14" t="s">
        <v>51</v>
      </c>
      <c r="K351" s="3" t="s">
        <v>394</v>
      </c>
    </row>
    <row r="352" spans="1:11" x14ac:dyDescent="0.25">
      <c r="A352" s="9">
        <v>45608.564571759256</v>
      </c>
      <c r="B352" s="3" t="s">
        <v>584</v>
      </c>
      <c r="C352" s="3" t="s">
        <v>50</v>
      </c>
      <c r="D352" s="12">
        <v>1339375</v>
      </c>
      <c r="F352" s="3" t="str">
        <f t="shared" si="16"/>
        <v>BB01-1339375</v>
      </c>
      <c r="G352" s="3" t="str">
        <f t="shared" si="17"/>
        <v>BB01-1339375, COMPUTE, TCH - TOUCH DISPLAY, ONLOGIC TN101, PANEL MOUNT</v>
      </c>
      <c r="H352" s="3" t="s">
        <v>296</v>
      </c>
      <c r="I352" s="3" t="s">
        <v>293</v>
      </c>
      <c r="J352" s="14" t="s">
        <v>51</v>
      </c>
      <c r="K352" s="3" t="s">
        <v>520</v>
      </c>
    </row>
    <row r="353" spans="1:11" x14ac:dyDescent="0.25">
      <c r="A353" s="9">
        <v>45610.8827662037</v>
      </c>
      <c r="B353" s="3" t="s">
        <v>585</v>
      </c>
      <c r="C353" s="3" t="s">
        <v>59</v>
      </c>
      <c r="D353" s="12">
        <v>7729659</v>
      </c>
      <c r="F353" s="3" t="str">
        <f t="shared" si="16"/>
        <v>HV01-7729659</v>
      </c>
      <c r="G353" s="3" t="str">
        <f t="shared" si="17"/>
        <v>HV01-7729659, NUT INSERT, KEENSERT, M2.5, MCMASTER 93715S315</v>
      </c>
      <c r="H353" s="3" t="s">
        <v>438</v>
      </c>
      <c r="I353" s="3" t="s">
        <v>293</v>
      </c>
      <c r="J353" s="14" t="s">
        <v>422</v>
      </c>
      <c r="K353" s="3" t="s">
        <v>520</v>
      </c>
    </row>
    <row r="354" spans="1:11" x14ac:dyDescent="0.25">
      <c r="A354" s="9">
        <v>45610.884212962963</v>
      </c>
      <c r="B354" s="3" t="s">
        <v>586</v>
      </c>
      <c r="C354" s="3" t="s">
        <v>59</v>
      </c>
      <c r="D354" s="12">
        <v>5395187</v>
      </c>
      <c r="F354" s="3" t="str">
        <f t="shared" si="16"/>
        <v>HV01-5395187</v>
      </c>
      <c r="G354" s="3" t="str">
        <f t="shared" si="17"/>
        <v>HV01-5395187, NUT INSERT, KEENSERT, 1/2", MCMASTER 93340A330</v>
      </c>
      <c r="H354" s="3" t="s">
        <v>438</v>
      </c>
      <c r="I354" s="3" t="s">
        <v>293</v>
      </c>
      <c r="J354" s="14" t="s">
        <v>422</v>
      </c>
      <c r="K354" s="3" t="s">
        <v>520</v>
      </c>
    </row>
    <row r="355" spans="1:11" x14ac:dyDescent="0.25">
      <c r="A355" s="9">
        <v>45610.890462962961</v>
      </c>
      <c r="B355" s="3" t="s">
        <v>587</v>
      </c>
      <c r="C355" s="3" t="s">
        <v>59</v>
      </c>
      <c r="D355" s="12">
        <v>5952587</v>
      </c>
      <c r="F355" s="3" t="str">
        <f t="shared" si="16"/>
        <v>HV01-5952587</v>
      </c>
      <c r="G355" s="3" t="str">
        <f t="shared" ref="G355" si="18">CONCATENATE(F355,", ",B355)</f>
        <v>HV01-5952587, BOLT, ALLOY STEEL 12-POINT, 5/8" X 3" 91271A806</v>
      </c>
      <c r="H355" s="3" t="s">
        <v>438</v>
      </c>
      <c r="I355" s="3" t="s">
        <v>293</v>
      </c>
      <c r="J355" s="14" t="s">
        <v>422</v>
      </c>
      <c r="K355" s="3" t="s">
        <v>520</v>
      </c>
    </row>
    <row r="356" spans="1:11" x14ac:dyDescent="0.25">
      <c r="A356" s="9">
        <v>45610.895428240743</v>
      </c>
      <c r="B356" s="3" t="s">
        <v>588</v>
      </c>
      <c r="C356" s="3" t="s">
        <v>59</v>
      </c>
      <c r="D356" s="12">
        <v>4149492</v>
      </c>
      <c r="F356" s="3" t="str">
        <f t="shared" ref="F356:F357" si="19">C356&amp;"-"&amp;D356</f>
        <v>HV01-4149492</v>
      </c>
      <c r="G356" s="3" t="str">
        <f t="shared" ref="G356:G357" si="20">CONCATENATE(F356,", ",B356)</f>
        <v>HV01-4149492, NUT INSERT, KEENSERT, 5/8", MCMASTER 91731A058</v>
      </c>
      <c r="H356" s="3" t="s">
        <v>438</v>
      </c>
      <c r="I356" s="3" t="s">
        <v>293</v>
      </c>
      <c r="J356" s="14" t="s">
        <v>422</v>
      </c>
      <c r="K356" s="3" t="s">
        <v>520</v>
      </c>
    </row>
    <row r="357" spans="1:11" x14ac:dyDescent="0.25">
      <c r="A357" s="9">
        <v>45610.895937499998</v>
      </c>
      <c r="B357" s="3" t="s">
        <v>589</v>
      </c>
      <c r="C357" s="3" t="s">
        <v>59</v>
      </c>
      <c r="D357" s="12">
        <v>1818251</v>
      </c>
      <c r="F357" s="3" t="str">
        <f t="shared" si="19"/>
        <v>HV01-1818251</v>
      </c>
      <c r="G357" s="3" t="str">
        <f t="shared" si="20"/>
        <v>HV01-1818251, PRESS SLEEVE, BEARING, ALUMINUM</v>
      </c>
      <c r="H357" s="3" t="s">
        <v>438</v>
      </c>
      <c r="I357" s="3" t="s">
        <v>293</v>
      </c>
      <c r="J357" s="14" t="s">
        <v>422</v>
      </c>
      <c r="K357" s="3" t="s">
        <v>394</v>
      </c>
    </row>
    <row r="358" spans="1:11" x14ac:dyDescent="0.25">
      <c r="A358" s="9">
        <v>45610.486076388886</v>
      </c>
      <c r="B358" s="3" t="s">
        <v>590</v>
      </c>
      <c r="C358" s="3" t="s">
        <v>50</v>
      </c>
      <c r="D358" s="12">
        <v>7007688</v>
      </c>
      <c r="F358" s="3" t="str">
        <f t="shared" ref="F358:F389" si="21">C358&amp;"-"&amp;D358</f>
        <v>BB01-7007688</v>
      </c>
      <c r="G358" s="3" t="str">
        <f t="shared" ref="G358:G389" si="22">CONCATENATE(F358,", ",B358)</f>
        <v>BB01-7007688, CONNECTOR, HARNESS-SIDE, HVDC, TE, C-2-2310922-1-B</v>
      </c>
      <c r="H358" s="3" t="s">
        <v>296</v>
      </c>
      <c r="I358" s="3" t="s">
        <v>293</v>
      </c>
      <c r="J358" s="14" t="s">
        <v>51</v>
      </c>
      <c r="K358" s="3" t="s">
        <v>520</v>
      </c>
    </row>
    <row r="359" spans="1:11" x14ac:dyDescent="0.25">
      <c r="A359" s="9">
        <v>45610.488923611112</v>
      </c>
      <c r="B359" s="3" t="s">
        <v>591</v>
      </c>
      <c r="C359" s="3" t="s">
        <v>50</v>
      </c>
      <c r="D359" s="12">
        <v>8602630</v>
      </c>
      <c r="F359" s="3" t="str">
        <f t="shared" si="21"/>
        <v>BB01-8602630</v>
      </c>
      <c r="G359" s="3" t="str">
        <f t="shared" si="22"/>
        <v>BB01-8602630, CONNECTOR, PANEL-SIDE, HVDC, TE, C-2322122-1-C</v>
      </c>
      <c r="H359" s="3" t="s">
        <v>296</v>
      </c>
      <c r="I359" s="3" t="s">
        <v>293</v>
      </c>
      <c r="J359" s="14" t="s">
        <v>51</v>
      </c>
      <c r="K359" s="3" t="s">
        <v>520</v>
      </c>
    </row>
    <row r="360" spans="1:11" x14ac:dyDescent="0.25">
      <c r="A360" s="9">
        <v>45610.526435185187</v>
      </c>
      <c r="B360" s="3" t="s">
        <v>592</v>
      </c>
      <c r="C360" s="3" t="s">
        <v>50</v>
      </c>
      <c r="D360" s="12">
        <v>9466392</v>
      </c>
      <c r="F360" s="3" t="str">
        <f t="shared" si="21"/>
        <v>BB01-9466392</v>
      </c>
      <c r="G360" s="3" t="str">
        <f t="shared" si="22"/>
        <v>BB01-9466392, CONNECTOR, PANEL-SIDE, COMMS, TE, C-DT04-12PA-L012</v>
      </c>
      <c r="H360" s="3" t="s">
        <v>296</v>
      </c>
      <c r="I360" s="3" t="s">
        <v>293</v>
      </c>
      <c r="J360" s="14" t="s">
        <v>51</v>
      </c>
      <c r="K360" s="3" t="s">
        <v>520</v>
      </c>
    </row>
    <row r="361" spans="1:11" x14ac:dyDescent="0.25">
      <c r="A361" s="9">
        <v>45610.544293981482</v>
      </c>
      <c r="B361" s="3" t="s">
        <v>593</v>
      </c>
      <c r="C361" s="3" t="s">
        <v>50</v>
      </c>
      <c r="D361" s="12">
        <v>6378244</v>
      </c>
      <c r="F361" s="3" t="str">
        <f t="shared" si="21"/>
        <v>BB01-6378244</v>
      </c>
      <c r="G361" s="3" t="str">
        <f t="shared" si="22"/>
        <v>BB01-6378244, CONNECTOR, SURLOK, 8.0MM, RIGHT ANGLE, SLPPB35BSR</v>
      </c>
      <c r="H361" s="3" t="s">
        <v>296</v>
      </c>
      <c r="I361" s="3" t="s">
        <v>293</v>
      </c>
      <c r="J361" s="14" t="s">
        <v>51</v>
      </c>
      <c r="K361" s="3" t="s">
        <v>520</v>
      </c>
    </row>
    <row r="362" spans="1:11" x14ac:dyDescent="0.25">
      <c r="A362" s="9">
        <v>45610.557569444441</v>
      </c>
      <c r="B362" s="3" t="s">
        <v>594</v>
      </c>
      <c r="C362" s="3" t="s">
        <v>50</v>
      </c>
      <c r="D362" s="12">
        <v>9768543</v>
      </c>
      <c r="F362" s="3" t="str">
        <f t="shared" si="21"/>
        <v>BB01-9768543</v>
      </c>
      <c r="G362" s="3" t="str">
        <f t="shared" si="22"/>
        <v>BB01-9768543, CONNECTOR, GT CONTACT, 10PIN, GT152229-21121</v>
      </c>
      <c r="H362" s="3" t="s">
        <v>296</v>
      </c>
      <c r="I362" s="3" t="s">
        <v>293</v>
      </c>
      <c r="J362" s="14" t="s">
        <v>51</v>
      </c>
      <c r="K362" s="3" t="s">
        <v>520</v>
      </c>
    </row>
    <row r="363" spans="1:11" x14ac:dyDescent="0.25">
      <c r="A363" s="9">
        <v>45611.54896990741</v>
      </c>
      <c r="B363" s="3" t="s">
        <v>595</v>
      </c>
      <c r="C363" s="3" t="s">
        <v>50</v>
      </c>
      <c r="D363" s="12">
        <v>7676175</v>
      </c>
      <c r="F363" s="3" t="str">
        <f t="shared" si="21"/>
        <v>BB01-7676175</v>
      </c>
      <c r="G363" s="3" t="str">
        <f t="shared" si="22"/>
        <v>BB01-7676175, MOUNT, FAN, MCU, 19CFM, DOUBLE</v>
      </c>
      <c r="H363" s="3" t="s">
        <v>296</v>
      </c>
      <c r="I363" s="3" t="s">
        <v>293</v>
      </c>
      <c r="J363" s="14" t="s">
        <v>51</v>
      </c>
      <c r="K363" s="3" t="s">
        <v>413</v>
      </c>
    </row>
    <row r="364" spans="1:11" x14ac:dyDescent="0.25">
      <c r="A364" s="9">
        <v>45611.549444444441</v>
      </c>
      <c r="B364" s="3" t="s">
        <v>596</v>
      </c>
      <c r="C364" s="3" t="s">
        <v>50</v>
      </c>
      <c r="D364" s="12">
        <v>2995725</v>
      </c>
      <c r="F364" s="3" t="str">
        <f t="shared" si="21"/>
        <v>BB01-2995725</v>
      </c>
      <c r="G364" s="3" t="str">
        <f t="shared" si="22"/>
        <v>BB01-2995725, STANDOFF, MCU, DOUBLE</v>
      </c>
      <c r="H364" s="3" t="s">
        <v>296</v>
      </c>
      <c r="I364" s="3" t="s">
        <v>293</v>
      </c>
      <c r="J364" s="14" t="s">
        <v>51</v>
      </c>
      <c r="K364" s="3" t="s">
        <v>413</v>
      </c>
    </row>
    <row r="365" spans="1:11" x14ac:dyDescent="0.25">
      <c r="A365" s="9">
        <v>45611.549872685187</v>
      </c>
      <c r="B365" s="3" t="s">
        <v>597</v>
      </c>
      <c r="C365" s="3" t="s">
        <v>50</v>
      </c>
      <c r="D365" s="12">
        <v>6030203</v>
      </c>
      <c r="F365" s="3" t="str">
        <f t="shared" si="21"/>
        <v>BB01-6030203</v>
      </c>
      <c r="G365" s="3" t="str">
        <f t="shared" si="22"/>
        <v>BB01-6030203, COVER, MCU, DOUBLE</v>
      </c>
      <c r="H365" s="3" t="s">
        <v>296</v>
      </c>
      <c r="I365" s="3" t="s">
        <v>293</v>
      </c>
      <c r="J365" s="14" t="s">
        <v>51</v>
      </c>
      <c r="K365" s="3" t="s">
        <v>413</v>
      </c>
    </row>
    <row r="366" spans="1:11" x14ac:dyDescent="0.25">
      <c r="A366" s="9">
        <v>45611.557708333334</v>
      </c>
      <c r="B366" s="3" t="s">
        <v>598</v>
      </c>
      <c r="C366" s="3" t="s">
        <v>50</v>
      </c>
      <c r="D366" s="12">
        <v>2927004</v>
      </c>
      <c r="F366" s="3" t="str">
        <f t="shared" si="21"/>
        <v>BB01-2927004</v>
      </c>
      <c r="G366" s="3" t="str">
        <f t="shared" si="22"/>
        <v>BB01-2927004, BOLT, M4X10MM, SOCKET HEAD, STEEL, MCMASTER 91290A144</v>
      </c>
      <c r="H366" s="3" t="s">
        <v>296</v>
      </c>
      <c r="I366" s="3" t="s">
        <v>293</v>
      </c>
      <c r="J366" s="14" t="s">
        <v>51</v>
      </c>
      <c r="K366" s="3" t="s">
        <v>415</v>
      </c>
    </row>
    <row r="367" spans="1:11" x14ac:dyDescent="0.25">
      <c r="A367" s="9">
        <v>45611.561412037037</v>
      </c>
      <c r="B367" s="3" t="s">
        <v>599</v>
      </c>
      <c r="C367" s="3" t="s">
        <v>50</v>
      </c>
      <c r="D367" s="12">
        <v>8056848</v>
      </c>
      <c r="F367" s="3" t="str">
        <f t="shared" si="21"/>
        <v>BB01-8056848</v>
      </c>
      <c r="G367" s="3" t="str">
        <f t="shared" si="22"/>
        <v>BB01-8056848, BOLT, M4X20MM, SOCKET HEAD, STEEL, MCMASTER 91290A168</v>
      </c>
      <c r="H367" s="3" t="s">
        <v>296</v>
      </c>
      <c r="I367" s="3" t="s">
        <v>293</v>
      </c>
      <c r="J367" s="14" t="s">
        <v>51</v>
      </c>
      <c r="K367" s="3" t="s">
        <v>415</v>
      </c>
    </row>
    <row r="368" spans="1:11" x14ac:dyDescent="0.25">
      <c r="A368" s="9">
        <v>45611.585462962961</v>
      </c>
      <c r="B368" s="3" t="s">
        <v>600</v>
      </c>
      <c r="C368" s="3" t="s">
        <v>50</v>
      </c>
      <c r="D368" s="12">
        <v>4446750</v>
      </c>
      <c r="F368" s="3" t="str">
        <f t="shared" si="21"/>
        <v>BB01-4446750</v>
      </c>
      <c r="G368" s="3" t="str">
        <f t="shared" si="22"/>
        <v>BB01-4446750, BOLT, M4X100MM, SOCKET HEAD, STEEL, MCMASTER 91290A185</v>
      </c>
      <c r="H368" s="3" t="s">
        <v>296</v>
      </c>
      <c r="I368" s="3" t="s">
        <v>293</v>
      </c>
      <c r="J368" s="14" t="s">
        <v>51</v>
      </c>
      <c r="K368" s="3" t="s">
        <v>415</v>
      </c>
    </row>
    <row r="369" spans="1:11" x14ac:dyDescent="0.25">
      <c r="A369" s="9">
        <v>45611.591608796298</v>
      </c>
      <c r="B369" s="3" t="s">
        <v>601</v>
      </c>
      <c r="C369" s="3" t="s">
        <v>50</v>
      </c>
      <c r="D369" s="12">
        <v>7611346</v>
      </c>
      <c r="F369" s="3" t="str">
        <f t="shared" si="21"/>
        <v>BB01-7611346</v>
      </c>
      <c r="G369" s="3" t="str">
        <f t="shared" si="22"/>
        <v>BB01-7611346, MOUNT, FAN, MCU, 19CFM, DOUBLE, PASS THRU BOLTS</v>
      </c>
      <c r="H369" s="3" t="s">
        <v>296</v>
      </c>
      <c r="I369" s="3" t="s">
        <v>293</v>
      </c>
      <c r="J369" s="14" t="s">
        <v>51</v>
      </c>
      <c r="K369" s="3" t="s">
        <v>415</v>
      </c>
    </row>
    <row r="370" spans="1:11" x14ac:dyDescent="0.25">
      <c r="A370" s="9">
        <v>45611.596979166665</v>
      </c>
      <c r="B370" s="3" t="s">
        <v>602</v>
      </c>
      <c r="C370" s="3" t="s">
        <v>50</v>
      </c>
      <c r="D370" s="12">
        <v>3997626</v>
      </c>
      <c r="F370" s="3" t="str">
        <f t="shared" si="21"/>
        <v>BB01-3997626</v>
      </c>
      <c r="G370" s="3" t="str">
        <f t="shared" si="22"/>
        <v>BB01-3997626, STANDOFF, MCU, DOUBLE, PASS THRU</v>
      </c>
      <c r="H370" s="3" t="s">
        <v>296</v>
      </c>
      <c r="I370" s="3" t="s">
        <v>293</v>
      </c>
      <c r="J370" s="14" t="s">
        <v>51</v>
      </c>
      <c r="K370" s="3" t="s">
        <v>413</v>
      </c>
    </row>
    <row r="371" spans="1:11" x14ac:dyDescent="0.25">
      <c r="A371" s="9">
        <v>45611.606574074074</v>
      </c>
      <c r="B371" s="3" t="s">
        <v>645</v>
      </c>
      <c r="C371" s="3" t="s">
        <v>50</v>
      </c>
      <c r="D371" s="12">
        <v>1856290</v>
      </c>
      <c r="F371" s="3" t="str">
        <f t="shared" si="21"/>
        <v>BB01-1856290</v>
      </c>
      <c r="G371" s="3" t="str">
        <f t="shared" si="22"/>
        <v>BB01-1856290, HELICOIL, M4 INNER THREAD, M6 OUTER THREAD, MCMASTER 91732A656</v>
      </c>
      <c r="H371" s="3" t="s">
        <v>296</v>
      </c>
      <c r="I371" s="3" t="s">
        <v>293</v>
      </c>
      <c r="J371" s="14" t="s">
        <v>51</v>
      </c>
      <c r="K371" s="3" t="s">
        <v>415</v>
      </c>
    </row>
    <row r="372" spans="1:11" x14ac:dyDescent="0.25">
      <c r="A372" s="9">
        <v>45611.630486111113</v>
      </c>
      <c r="B372" s="3" t="s">
        <v>603</v>
      </c>
      <c r="C372" s="3" t="s">
        <v>50</v>
      </c>
      <c r="D372" s="12">
        <v>6118268</v>
      </c>
      <c r="F372" s="3" t="str">
        <f t="shared" si="21"/>
        <v>BB01-6118268</v>
      </c>
      <c r="G372" s="3" t="str">
        <f t="shared" si="22"/>
        <v>BB01-6118268, HANDLE, PULL, 5", MODULE, ALPHA, MCMASTER 2471N3</v>
      </c>
      <c r="H372" s="3" t="s">
        <v>296</v>
      </c>
      <c r="I372" s="3" t="s">
        <v>293</v>
      </c>
      <c r="J372" s="14" t="s">
        <v>51</v>
      </c>
      <c r="K372" s="3" t="s">
        <v>415</v>
      </c>
    </row>
    <row r="373" spans="1:11" x14ac:dyDescent="0.25">
      <c r="A373" s="9">
        <v>45611.632222222222</v>
      </c>
      <c r="B373" s="3" t="s">
        <v>604</v>
      </c>
      <c r="C373" s="3" t="s">
        <v>50</v>
      </c>
      <c r="D373" s="12">
        <v>2872367</v>
      </c>
      <c r="F373" s="3" t="str">
        <f t="shared" si="21"/>
        <v>BB01-2872367</v>
      </c>
      <c r="G373" s="3" t="str">
        <f t="shared" si="22"/>
        <v>BB01-2872367, HANDLE, PULL, 4", MODULE, ALPHA, MCMASTER 2471N1</v>
      </c>
      <c r="H373" s="3" t="s">
        <v>296</v>
      </c>
      <c r="I373" s="3" t="s">
        <v>293</v>
      </c>
      <c r="J373" s="14" t="s">
        <v>51</v>
      </c>
      <c r="K373" s="3" t="s">
        <v>415</v>
      </c>
    </row>
    <row r="374" spans="1:11" x14ac:dyDescent="0.25">
      <c r="A374" s="9">
        <v>45611.642881944441</v>
      </c>
      <c r="B374" s="3" t="s">
        <v>605</v>
      </c>
      <c r="C374" s="3" t="s">
        <v>50</v>
      </c>
      <c r="D374" s="12">
        <v>2386136</v>
      </c>
      <c r="F374" s="3" t="str">
        <f t="shared" si="21"/>
        <v>BB01-2386136</v>
      </c>
      <c r="G374" s="3" t="str">
        <f t="shared" si="22"/>
        <v>BB01-2386136, BUSHING, T-HAT, M6X7MM</v>
      </c>
      <c r="H374" s="3" t="s">
        <v>296</v>
      </c>
      <c r="I374" s="3" t="s">
        <v>293</v>
      </c>
      <c r="J374" s="14" t="s">
        <v>51</v>
      </c>
      <c r="K374" s="3" t="s">
        <v>415</v>
      </c>
    </row>
    <row r="375" spans="1:11" x14ac:dyDescent="0.25">
      <c r="A375" s="9">
        <v>45611.644606481481</v>
      </c>
      <c r="B375" s="3" t="s">
        <v>606</v>
      </c>
      <c r="C375" s="3" t="s">
        <v>50</v>
      </c>
      <c r="D375" s="12">
        <v>6652707</v>
      </c>
      <c r="F375" s="3" t="str">
        <f t="shared" si="21"/>
        <v>BB01-6652707</v>
      </c>
      <c r="G375" s="3" t="str">
        <f t="shared" si="22"/>
        <v>BB01-6652707, BOLT, M6X25MM, 12-POINT, MCMASTER 93700A213</v>
      </c>
      <c r="H375" s="3" t="s">
        <v>296</v>
      </c>
      <c r="I375" s="3" t="s">
        <v>293</v>
      </c>
      <c r="J375" s="14" t="s">
        <v>51</v>
      </c>
      <c r="K375" s="3" t="s">
        <v>415</v>
      </c>
    </row>
    <row r="376" spans="1:11" x14ac:dyDescent="0.25">
      <c r="A376" s="9">
        <v>45612.378495370373</v>
      </c>
      <c r="B376" s="3" t="s">
        <v>608</v>
      </c>
      <c r="C376" s="3" t="s">
        <v>50</v>
      </c>
      <c r="D376" s="12">
        <v>6520932</v>
      </c>
      <c r="F376" s="3" t="str">
        <f t="shared" si="21"/>
        <v>BB01-6520932</v>
      </c>
      <c r="G376" s="3" t="str">
        <f t="shared" si="22"/>
        <v>BB01-6520932, BOLT, M6X25MM, 8020, STANDARD, 8020.NET 25-3895</v>
      </c>
      <c r="H376" s="3" t="s">
        <v>296</v>
      </c>
      <c r="I376" s="3" t="s">
        <v>293</v>
      </c>
      <c r="J376" s="14" t="s">
        <v>51</v>
      </c>
      <c r="K376" s="3" t="s">
        <v>415</v>
      </c>
    </row>
    <row r="377" spans="1:11" x14ac:dyDescent="0.25">
      <c r="A377" s="9">
        <v>45612.382106481484</v>
      </c>
      <c r="B377" s="3" t="s">
        <v>609</v>
      </c>
      <c r="C377" s="3" t="s">
        <v>50</v>
      </c>
      <c r="D377" s="12">
        <v>9289476</v>
      </c>
      <c r="F377" s="3" t="str">
        <f t="shared" si="21"/>
        <v>BB01-9289476</v>
      </c>
      <c r="G377" s="3" t="str">
        <f t="shared" si="22"/>
        <v>BB01-9289476, BOLT, 5/16-18 X 3/4", 8020.NET 3293</v>
      </c>
      <c r="H377" s="3" t="s">
        <v>296</v>
      </c>
      <c r="I377" s="3" t="s">
        <v>293</v>
      </c>
      <c r="J377" s="14" t="s">
        <v>51</v>
      </c>
      <c r="K377" s="3" t="s">
        <v>415</v>
      </c>
    </row>
    <row r="378" spans="1:11" x14ac:dyDescent="0.25">
      <c r="A378" s="9">
        <v>45612.575416666667</v>
      </c>
      <c r="B378" s="3" t="s">
        <v>610</v>
      </c>
      <c r="C378" s="3" t="s">
        <v>50</v>
      </c>
      <c r="D378" s="12">
        <v>9730802</v>
      </c>
      <c r="F378" s="3" t="str">
        <f t="shared" si="21"/>
        <v>BB01-9730802</v>
      </c>
      <c r="G378" s="3" t="str">
        <f t="shared" si="22"/>
        <v>BB01-9730802, BOLT, 1/4/20 X 3/4", 8020.NET 3115</v>
      </c>
      <c r="H378" s="3" t="s">
        <v>296</v>
      </c>
      <c r="I378" s="3" t="s">
        <v>293</v>
      </c>
      <c r="J378" s="14" t="s">
        <v>51</v>
      </c>
      <c r="K378" s="3" t="s">
        <v>563</v>
      </c>
    </row>
    <row r="379" spans="1:11" x14ac:dyDescent="0.25">
      <c r="A379" s="9">
        <v>45612.589155092595</v>
      </c>
      <c r="B379" s="3" t="s">
        <v>611</v>
      </c>
      <c r="C379" s="3" t="s">
        <v>50</v>
      </c>
      <c r="D379" s="12">
        <v>3644007</v>
      </c>
      <c r="F379" s="3" t="str">
        <f t="shared" si="21"/>
        <v>BB01-3644007</v>
      </c>
      <c r="G379" s="3" t="str">
        <f t="shared" si="22"/>
        <v>BB01-3644007, BUS BAR, MCU, POSITIVE TERMINAL</v>
      </c>
      <c r="H379" s="3" t="s">
        <v>296</v>
      </c>
      <c r="I379" s="3" t="s">
        <v>293</v>
      </c>
      <c r="J379" s="14" t="s">
        <v>51</v>
      </c>
      <c r="K379" s="3" t="s">
        <v>413</v>
      </c>
    </row>
    <row r="380" spans="1:11" x14ac:dyDescent="0.25">
      <c r="A380" s="9">
        <v>45612.590671296297</v>
      </c>
      <c r="B380" s="3" t="s">
        <v>612</v>
      </c>
      <c r="C380" s="3" t="s">
        <v>50</v>
      </c>
      <c r="D380" s="12">
        <v>5265776</v>
      </c>
      <c r="F380" s="3" t="str">
        <f t="shared" si="21"/>
        <v>BB01-5265776</v>
      </c>
      <c r="G380" s="3" t="str">
        <f t="shared" si="22"/>
        <v>BB01-5265776, BUS BAR, MCU, NEGATIVE TERMINAL</v>
      </c>
      <c r="H380" s="3" t="s">
        <v>296</v>
      </c>
      <c r="I380" s="3" t="s">
        <v>293</v>
      </c>
      <c r="J380" s="14" t="s">
        <v>51</v>
      </c>
      <c r="K380" s="3" t="s">
        <v>413</v>
      </c>
    </row>
    <row r="381" spans="1:11" x14ac:dyDescent="0.25">
      <c r="A381" s="9">
        <v>45612.594166666669</v>
      </c>
      <c r="B381" s="3" t="s">
        <v>613</v>
      </c>
      <c r="C381" s="3" t="s">
        <v>50</v>
      </c>
      <c r="D381" s="12">
        <v>4559639</v>
      </c>
      <c r="F381" s="3" t="str">
        <f t="shared" si="21"/>
        <v>BB01-4559639</v>
      </c>
      <c r="G381" s="3" t="str">
        <f t="shared" si="22"/>
        <v>BB01-4559639, TERMINAL, LUG, 6AWG, WURTH, 5580516</v>
      </c>
      <c r="H381" s="3" t="s">
        <v>296</v>
      </c>
      <c r="I381" s="3" t="s">
        <v>293</v>
      </c>
      <c r="J381" s="14" t="s">
        <v>51</v>
      </c>
      <c r="K381" s="3" t="s">
        <v>415</v>
      </c>
    </row>
    <row r="382" spans="1:11" x14ac:dyDescent="0.25">
      <c r="A382" s="9">
        <v>45613.957326388889</v>
      </c>
      <c r="B382" s="3" t="s">
        <v>614</v>
      </c>
      <c r="C382" s="3" t="s">
        <v>59</v>
      </c>
      <c r="D382" s="12">
        <v>7858852</v>
      </c>
      <c r="F382" s="3" t="str">
        <f t="shared" si="21"/>
        <v>HV01-7858852</v>
      </c>
      <c r="G382" s="3" t="str">
        <f t="shared" si="22"/>
        <v>HV01-7858852, HELICOIL, 5/16, STAINLESS STEEL, MCMASTER 91732A744</v>
      </c>
      <c r="I382" s="3" t="s">
        <v>293</v>
      </c>
      <c r="J382" s="14" t="s">
        <v>422</v>
      </c>
      <c r="K382" s="3" t="s">
        <v>520</v>
      </c>
    </row>
    <row r="383" spans="1:11" x14ac:dyDescent="0.25">
      <c r="A383" s="9">
        <v>45614.268287037034</v>
      </c>
      <c r="B383" s="3" t="s">
        <v>615</v>
      </c>
      <c r="C383" s="3" t="s">
        <v>59</v>
      </c>
      <c r="D383" s="12">
        <v>7186394</v>
      </c>
      <c r="F383" s="3" t="str">
        <f t="shared" si="21"/>
        <v>HV01-7186394</v>
      </c>
      <c r="G383" s="3" t="str">
        <f t="shared" si="22"/>
        <v>HV01-7186394, NUT INSERT, KEENSERT, 5/16", MCMASTER 93340A315</v>
      </c>
      <c r="I383" s="3" t="s">
        <v>293</v>
      </c>
      <c r="J383" s="14" t="s">
        <v>422</v>
      </c>
      <c r="K383" s="3" t="s">
        <v>520</v>
      </c>
    </row>
    <row r="384" spans="1:11" x14ac:dyDescent="0.25">
      <c r="A384" s="9">
        <v>45614.27140046296</v>
      </c>
      <c r="B384" s="3" t="s">
        <v>616</v>
      </c>
      <c r="C384" s="3" t="s">
        <v>59</v>
      </c>
      <c r="D384" s="12">
        <v>6643131</v>
      </c>
      <c r="F384" s="3" t="str">
        <f t="shared" si="21"/>
        <v>HV01-6643131</v>
      </c>
      <c r="G384" s="3" t="str">
        <f t="shared" si="22"/>
        <v>HV01-6643131, BONDED WASHER, STAINLESS, MCMASTER 90467A132</v>
      </c>
      <c r="I384" s="3" t="s">
        <v>293</v>
      </c>
      <c r="J384" s="14" t="s">
        <v>422</v>
      </c>
      <c r="K384" s="3" t="s">
        <v>520</v>
      </c>
    </row>
    <row r="385" spans="1:11" x14ac:dyDescent="0.25">
      <c r="A385" s="9">
        <v>45614.272569444445</v>
      </c>
      <c r="B385" s="3" t="s">
        <v>617</v>
      </c>
      <c r="C385" s="3" t="s">
        <v>59</v>
      </c>
      <c r="D385" s="12">
        <v>8407274</v>
      </c>
      <c r="F385" s="3" t="str">
        <f t="shared" si="21"/>
        <v>HV01-8407274</v>
      </c>
      <c r="G385" s="3" t="str">
        <f t="shared" si="22"/>
        <v>HV01-8407274, NUT INSERT, KEENSERT, 1/4", MCMASTER 93340A310</v>
      </c>
      <c r="I385" s="3" t="s">
        <v>293</v>
      </c>
      <c r="J385" s="14" t="s">
        <v>422</v>
      </c>
      <c r="K385" s="3" t="s">
        <v>520</v>
      </c>
    </row>
    <row r="386" spans="1:11" x14ac:dyDescent="0.25">
      <c r="A386" s="9">
        <v>45614.278622685182</v>
      </c>
      <c r="B386" s="3" t="s">
        <v>618</v>
      </c>
      <c r="C386" s="3" t="s">
        <v>59</v>
      </c>
      <c r="D386" s="12">
        <v>3215896</v>
      </c>
      <c r="F386" s="3" t="str">
        <f t="shared" si="21"/>
        <v>HV01-3215896</v>
      </c>
      <c r="G386" s="3" t="str">
        <f t="shared" si="22"/>
        <v>HV01-3215896, ORING, NITRILE, 9.975" ID, MCMASTER 9452K433</v>
      </c>
      <c r="I386" s="3" t="s">
        <v>293</v>
      </c>
      <c r="J386" s="14" t="s">
        <v>422</v>
      </c>
      <c r="K386" s="3" t="s">
        <v>520</v>
      </c>
    </row>
    <row r="387" spans="1:11" x14ac:dyDescent="0.25">
      <c r="A387" s="9">
        <v>45614.282800925925</v>
      </c>
      <c r="B387" s="3" t="s">
        <v>619</v>
      </c>
      <c r="C387" s="3" t="s">
        <v>59</v>
      </c>
      <c r="D387" s="12">
        <v>2143919</v>
      </c>
      <c r="F387" s="3" t="str">
        <f t="shared" si="21"/>
        <v>HV01-2143919</v>
      </c>
      <c r="G387" s="3" t="str">
        <f t="shared" si="22"/>
        <v>HV01-2143919, ORING, NITRILE, 215MM ID, MCMASTER 1302N232</v>
      </c>
      <c r="I387" s="3" t="s">
        <v>293</v>
      </c>
      <c r="J387" s="14" t="s">
        <v>422</v>
      </c>
      <c r="K387" s="3" t="s">
        <v>520</v>
      </c>
    </row>
    <row r="388" spans="1:11" x14ac:dyDescent="0.25">
      <c r="A388" s="9">
        <v>45614.286932870367</v>
      </c>
      <c r="B388" s="3" t="s">
        <v>620</v>
      </c>
      <c r="C388" s="3" t="s">
        <v>59</v>
      </c>
      <c r="D388" s="12">
        <v>6919870</v>
      </c>
      <c r="F388" s="3" t="str">
        <f t="shared" si="21"/>
        <v>HV01-6919870</v>
      </c>
      <c r="G388" s="3" t="str">
        <f t="shared" si="22"/>
        <v>HV01-6919870, NUT INSERT, KEENSERT, #8, MCMASTER 91731A047</v>
      </c>
      <c r="I388" s="3" t="s">
        <v>293</v>
      </c>
      <c r="J388" s="14" t="s">
        <v>422</v>
      </c>
      <c r="K388" s="3" t="s">
        <v>520</v>
      </c>
    </row>
    <row r="389" spans="1:11" x14ac:dyDescent="0.25">
      <c r="A389" s="9">
        <v>45614.290856481479</v>
      </c>
      <c r="B389" s="3" t="s">
        <v>621</v>
      </c>
      <c r="C389" s="3" t="s">
        <v>59</v>
      </c>
      <c r="D389" s="12">
        <v>6184738</v>
      </c>
      <c r="F389" s="3" t="str">
        <f t="shared" si="21"/>
        <v>HV01-6184738</v>
      </c>
      <c r="G389" s="3" t="str">
        <f t="shared" si="22"/>
        <v>HV01-6184738, WASHER, NORDLOCK 5/8", MCMASTER 91812A235</v>
      </c>
      <c r="I389" s="3" t="s">
        <v>293</v>
      </c>
      <c r="J389" s="14" t="s">
        <v>422</v>
      </c>
      <c r="K389" s="3" t="s">
        <v>520</v>
      </c>
    </row>
    <row r="390" spans="1:11" x14ac:dyDescent="0.25">
      <c r="A390" s="9">
        <v>45613.570393518516</v>
      </c>
      <c r="B390" s="3" t="s">
        <v>622</v>
      </c>
      <c r="C390" s="3" t="s">
        <v>50</v>
      </c>
      <c r="D390" s="12">
        <v>6042353</v>
      </c>
      <c r="F390" s="3" t="str">
        <f t="shared" ref="F390:F407" si="23">C390&amp;"-"&amp;D390</f>
        <v>BB01-6042353</v>
      </c>
      <c r="G390" s="3" t="str">
        <f t="shared" ref="G390:G407" si="24">CONCATENATE(F390,", ",B390)</f>
        <v>BB01-6042353, ASSY, FRONT STRUCTRUCE, ALPHA CONFIG 01.1</v>
      </c>
      <c r="H390" s="3" t="s">
        <v>296</v>
      </c>
      <c r="I390" s="3" t="s">
        <v>624</v>
      </c>
      <c r="J390" s="14" t="s">
        <v>62</v>
      </c>
      <c r="K390" s="3" t="s">
        <v>413</v>
      </c>
    </row>
    <row r="391" spans="1:11" x14ac:dyDescent="0.25">
      <c r="A391" s="9">
        <v>45613.570439814815</v>
      </c>
      <c r="B391" s="3" t="s">
        <v>623</v>
      </c>
      <c r="C391" s="3" t="s">
        <v>50</v>
      </c>
      <c r="D391" s="12">
        <v>4547338</v>
      </c>
      <c r="F391" s="3" t="str">
        <f t="shared" si="23"/>
        <v>BB01-4547338</v>
      </c>
      <c r="G391" s="3" t="str">
        <f t="shared" si="24"/>
        <v>BB01-4547338, ASSY, BACK STRUCTRUCE, ALPHA CONFIG 01.1</v>
      </c>
      <c r="H391" s="3" t="s">
        <v>296</v>
      </c>
      <c r="I391" s="3" t="s">
        <v>624</v>
      </c>
      <c r="J391" s="14" t="s">
        <v>62</v>
      </c>
      <c r="K391" s="3" t="s">
        <v>413</v>
      </c>
    </row>
    <row r="392" spans="1:11" x14ac:dyDescent="0.25">
      <c r="A392" s="9">
        <v>45613.599374999998</v>
      </c>
      <c r="B392" s="3" t="s">
        <v>625</v>
      </c>
      <c r="C392" s="3" t="s">
        <v>50</v>
      </c>
      <c r="D392" s="12">
        <v>6822335</v>
      </c>
      <c r="F392" s="3" t="str">
        <f t="shared" si="23"/>
        <v>BB01-6822335</v>
      </c>
      <c r="G392" s="3" t="str">
        <f t="shared" si="24"/>
        <v>BB01-6822335, LOCATING PIN, 3064N11</v>
      </c>
      <c r="H392" s="3" t="s">
        <v>296</v>
      </c>
      <c r="I392" s="3" t="s">
        <v>293</v>
      </c>
      <c r="J392" s="14" t="s">
        <v>62</v>
      </c>
      <c r="K392" s="3" t="s">
        <v>520</v>
      </c>
    </row>
    <row r="393" spans="1:11" x14ac:dyDescent="0.25">
      <c r="A393" s="9">
        <v>45613.604907407411</v>
      </c>
      <c r="B393" s="3" t="s">
        <v>626</v>
      </c>
      <c r="C393" s="3" t="s">
        <v>50</v>
      </c>
      <c r="D393" s="12">
        <v>4438202</v>
      </c>
      <c r="F393" s="3" t="str">
        <f t="shared" si="23"/>
        <v>BB01-4438202</v>
      </c>
      <c r="G393" s="3" t="str">
        <f t="shared" si="24"/>
        <v>BB01-4438202, ASSY, MODULE SUPPORT STRUCTURE</v>
      </c>
      <c r="H393" s="3" t="s">
        <v>296</v>
      </c>
      <c r="I393" s="3" t="s">
        <v>624</v>
      </c>
      <c r="J393" s="14" t="s">
        <v>62</v>
      </c>
      <c r="K393" s="3" t="s">
        <v>413</v>
      </c>
    </row>
    <row r="394" spans="1:11" x14ac:dyDescent="0.25">
      <c r="A394" s="9">
        <v>45613.614675925928</v>
      </c>
      <c r="B394" s="3" t="s">
        <v>627</v>
      </c>
      <c r="C394" s="3" t="s">
        <v>50</v>
      </c>
      <c r="D394" s="12">
        <v>5577039</v>
      </c>
      <c r="F394" s="3" t="str">
        <f t="shared" si="23"/>
        <v>BB01-5577039</v>
      </c>
      <c r="G394" s="3" t="str">
        <f t="shared" si="24"/>
        <v>BB01-5577039, ASSY, TOP BRACING, SIDE</v>
      </c>
      <c r="H394" s="3" t="s">
        <v>296</v>
      </c>
      <c r="I394" s="3" t="s">
        <v>624</v>
      </c>
      <c r="J394" s="14" t="s">
        <v>62</v>
      </c>
      <c r="K394" s="3" t="s">
        <v>413</v>
      </c>
    </row>
    <row r="395" spans="1:11" x14ac:dyDescent="0.25">
      <c r="A395" s="9">
        <v>45613.614699074074</v>
      </c>
      <c r="B395" s="3" t="s">
        <v>628</v>
      </c>
      <c r="C395" s="3" t="s">
        <v>50</v>
      </c>
      <c r="D395" s="12">
        <v>1960640</v>
      </c>
      <c r="F395" s="3" t="str">
        <f t="shared" si="23"/>
        <v>BB01-1960640</v>
      </c>
      <c r="G395" s="3" t="str">
        <f t="shared" si="24"/>
        <v>BB01-1960640, ASSY, TOP BRACING, MIDDLE</v>
      </c>
      <c r="H395" s="3" t="s">
        <v>296</v>
      </c>
      <c r="I395" s="3" t="s">
        <v>624</v>
      </c>
      <c r="J395" s="14" t="s">
        <v>62</v>
      </c>
      <c r="K395" s="3" t="s">
        <v>413</v>
      </c>
    </row>
    <row r="396" spans="1:11" x14ac:dyDescent="0.25">
      <c r="A396" s="9">
        <v>45614.849108796298</v>
      </c>
      <c r="B396" s="3" t="s">
        <v>629</v>
      </c>
      <c r="C396" s="3" t="s">
        <v>59</v>
      </c>
      <c r="D396" s="12">
        <v>9456199</v>
      </c>
      <c r="F396" s="3" t="str">
        <f t="shared" si="23"/>
        <v>HV01-9456199</v>
      </c>
      <c r="G396" s="3" t="str">
        <f t="shared" si="24"/>
        <v>HV01-9456199, CONNECTOR, ASU003-05PN, MILSPEC</v>
      </c>
      <c r="I396" s="3" t="s">
        <v>293</v>
      </c>
      <c r="J396" s="14" t="s">
        <v>422</v>
      </c>
      <c r="K396" s="3" t="s">
        <v>520</v>
      </c>
    </row>
    <row r="397" spans="1:11" x14ac:dyDescent="0.25">
      <c r="A397" s="9">
        <v>45614.850995370369</v>
      </c>
      <c r="B397" s="3" t="s">
        <v>630</v>
      </c>
      <c r="C397" s="3" t="s">
        <v>59</v>
      </c>
      <c r="D397" s="12">
        <v>2381793</v>
      </c>
      <c r="F397" s="3" t="str">
        <f t="shared" si="23"/>
        <v>HV01-2381793</v>
      </c>
      <c r="G397" s="3" t="str">
        <f t="shared" si="24"/>
        <v>HV01-2381793, CONNECTOR, DT04-3P-L012, DEUTSCH</v>
      </c>
      <c r="I397" s="3" t="s">
        <v>293</v>
      </c>
      <c r="J397" s="14" t="s">
        <v>422</v>
      </c>
      <c r="K397" s="3" t="s">
        <v>520</v>
      </c>
    </row>
    <row r="398" spans="1:11" x14ac:dyDescent="0.25">
      <c r="A398" s="9">
        <v>45614.903333333335</v>
      </c>
      <c r="B398" t="s">
        <v>632</v>
      </c>
      <c r="C398" s="3" t="s">
        <v>59</v>
      </c>
      <c r="D398" s="12">
        <v>5575740</v>
      </c>
      <c r="F398" s="3" t="str">
        <f t="shared" si="23"/>
        <v>HV01-5575740</v>
      </c>
      <c r="G398" s="3" t="str">
        <f t="shared" si="24"/>
        <v>HV01-5575740, WASHER, 1/2" , NORDLOCK, MCMASTER 91812A233</v>
      </c>
      <c r="I398" s="3" t="s">
        <v>293</v>
      </c>
      <c r="J398" s="14" t="s">
        <v>422</v>
      </c>
      <c r="K398" s="3" t="s">
        <v>520</v>
      </c>
    </row>
    <row r="399" spans="1:11" x14ac:dyDescent="0.25">
      <c r="A399" s="9">
        <v>45615.289675925924</v>
      </c>
      <c r="B399" s="3" t="s">
        <v>633</v>
      </c>
      <c r="C399" s="3" t="s">
        <v>59</v>
      </c>
      <c r="D399" s="12">
        <v>4418734</v>
      </c>
      <c r="F399" s="3" t="str">
        <f t="shared" si="23"/>
        <v>HV01-4418734</v>
      </c>
      <c r="G399" s="3" t="str">
        <f t="shared" si="24"/>
        <v>HV01-4418734, PIPE FLANGE, CPVC, GRAINGER 22ZJ3</v>
      </c>
      <c r="I399" s="3" t="s">
        <v>293</v>
      </c>
      <c r="J399" s="14" t="s">
        <v>422</v>
      </c>
      <c r="K399" s="3" t="s">
        <v>520</v>
      </c>
    </row>
    <row r="400" spans="1:11" x14ac:dyDescent="0.25">
      <c r="A400" s="9">
        <v>45616.290092592593</v>
      </c>
      <c r="B400" s="3" t="s">
        <v>634</v>
      </c>
      <c r="C400" s="3" t="s">
        <v>50</v>
      </c>
      <c r="D400" s="12">
        <v>2108590</v>
      </c>
      <c r="F400" s="3" t="str">
        <f t="shared" si="23"/>
        <v>BB01-2108590</v>
      </c>
      <c r="G400" s="3" t="str">
        <f t="shared" si="24"/>
        <v>BB01-2108590, BLOCK, GROUND DISTRIBUTION, 24 PIN, 99-0780, TROMBETTA</v>
      </c>
      <c r="H400" s="3" t="s">
        <v>296</v>
      </c>
      <c r="I400" s="3" t="s">
        <v>293</v>
      </c>
      <c r="J400" s="14" t="s">
        <v>51</v>
      </c>
      <c r="K400" s="3" t="s">
        <v>415</v>
      </c>
    </row>
    <row r="401" spans="1:11" x14ac:dyDescent="0.25">
      <c r="A401" s="9">
        <v>45616.290381944447</v>
      </c>
      <c r="B401" s="3" t="s">
        <v>635</v>
      </c>
      <c r="C401" s="3" t="s">
        <v>59</v>
      </c>
      <c r="D401" s="12">
        <v>7430050</v>
      </c>
      <c r="F401" s="3" t="str">
        <f t="shared" si="23"/>
        <v>HV01-7430050</v>
      </c>
      <c r="G401" s="3" t="str">
        <f t="shared" si="24"/>
        <v>HV01-7430050, GASKET, EPTFE ASU003, CUSTOM</v>
      </c>
      <c r="H401" s="3" t="s">
        <v>296</v>
      </c>
      <c r="I401" s="3" t="s">
        <v>293</v>
      </c>
      <c r="J401" s="14" t="s">
        <v>422</v>
      </c>
      <c r="K401" s="3" t="s">
        <v>520</v>
      </c>
    </row>
    <row r="402" spans="1:11" x14ac:dyDescent="0.25">
      <c r="A402" s="9">
        <v>45616.292071759257</v>
      </c>
      <c r="B402" s="3" t="s">
        <v>636</v>
      </c>
      <c r="C402" s="3" t="s">
        <v>59</v>
      </c>
      <c r="D402" s="12">
        <v>8064312</v>
      </c>
      <c r="F402" s="3" t="str">
        <f t="shared" si="23"/>
        <v>HV01-8064312</v>
      </c>
      <c r="G402" s="3" t="str">
        <f t="shared" si="24"/>
        <v>HV01-8064312, GASKET, EPTFE DT-04, CUSTOM</v>
      </c>
      <c r="H402" s="3" t="s">
        <v>296</v>
      </c>
      <c r="I402" s="3" t="s">
        <v>293</v>
      </c>
      <c r="J402" s="14" t="s">
        <v>422</v>
      </c>
      <c r="K402" s="3" t="s">
        <v>520</v>
      </c>
    </row>
    <row r="403" spans="1:11" x14ac:dyDescent="0.25">
      <c r="A403" s="9">
        <v>45631.530509259261</v>
      </c>
      <c r="B403" s="3" t="s">
        <v>637</v>
      </c>
      <c r="C403" s="3" t="s">
        <v>50</v>
      </c>
      <c r="D403" s="12">
        <v>1631965</v>
      </c>
      <c r="F403" s="3" t="str">
        <f t="shared" si="23"/>
        <v>BB01-1631965</v>
      </c>
      <c r="G403" s="3" t="str">
        <f t="shared" si="24"/>
        <v>BB01-1631965, CONNECTOR, AHDP04-18-06PN-WTA, AMPHENOL</v>
      </c>
      <c r="H403" s="3" t="s">
        <v>296</v>
      </c>
      <c r="I403" s="3" t="s">
        <v>293</v>
      </c>
      <c r="J403" s="14" t="s">
        <v>51</v>
      </c>
      <c r="K403" s="3" t="s">
        <v>415</v>
      </c>
    </row>
    <row r="404" spans="1:11" x14ac:dyDescent="0.25">
      <c r="A404" s="9">
        <v>45615.670624999999</v>
      </c>
      <c r="B404" s="3" t="s">
        <v>638</v>
      </c>
      <c r="C404" s="3" t="s">
        <v>50</v>
      </c>
      <c r="D404" s="12">
        <v>3448303</v>
      </c>
      <c r="F404" s="3" t="str">
        <f t="shared" si="23"/>
        <v>BB01-3448303</v>
      </c>
      <c r="G404" s="3" t="str">
        <f t="shared" si="24"/>
        <v>BB01-3448303, CONNECTOR, AHDP06-18-06SN-WTA, AMPHENOL</v>
      </c>
      <c r="H404" s="3" t="s">
        <v>296</v>
      </c>
      <c r="I404" s="3" t="s">
        <v>293</v>
      </c>
      <c r="J404" s="14" t="s">
        <v>51</v>
      </c>
      <c r="K404" s="3" t="s">
        <v>415</v>
      </c>
    </row>
    <row r="405" spans="1:11" x14ac:dyDescent="0.25">
      <c r="A405" s="9">
        <v>45616.725775462961</v>
      </c>
      <c r="B405" s="3" t="s">
        <v>639</v>
      </c>
      <c r="C405" s="3" t="s">
        <v>50</v>
      </c>
      <c r="D405" s="12">
        <v>3648584</v>
      </c>
      <c r="F405" s="3" t="str">
        <f t="shared" si="23"/>
        <v>BB01-3648584</v>
      </c>
      <c r="G405" s="3" t="str">
        <f t="shared" si="24"/>
        <v>BB01-3648584, BLOCK, HVAC DISTRIBUTION, STEP DOWN, EATON, 16370-3</v>
      </c>
      <c r="H405" s="3" t="s">
        <v>296</v>
      </c>
      <c r="I405" s="3" t="s">
        <v>293</v>
      </c>
      <c r="J405" s="14" t="s">
        <v>51</v>
      </c>
      <c r="K405" s="3" t="s">
        <v>415</v>
      </c>
    </row>
    <row r="406" spans="1:11" x14ac:dyDescent="0.25">
      <c r="A406" s="9">
        <v>45621.825104166666</v>
      </c>
      <c r="B406" s="3" t="s">
        <v>641</v>
      </c>
      <c r="C406" s="3" t="s">
        <v>50</v>
      </c>
      <c r="D406" s="12">
        <v>9408544</v>
      </c>
      <c r="F406" s="3" t="str">
        <f t="shared" si="23"/>
        <v>BB01-9408544</v>
      </c>
      <c r="G406" s="3" t="str">
        <f t="shared" si="24"/>
        <v>BB01-9408544, RECPTACLE, SURLOK EMI, 10MM, STRAIGHT, 10-738726</v>
      </c>
      <c r="H406" s="3" t="s">
        <v>296</v>
      </c>
      <c r="I406" s="3" t="s">
        <v>293</v>
      </c>
      <c r="J406" s="14" t="s">
        <v>51</v>
      </c>
      <c r="K406" s="3" t="s">
        <v>415</v>
      </c>
    </row>
    <row r="407" spans="1:11" x14ac:dyDescent="0.25">
      <c r="A407" s="9">
        <v>45621.831956018519</v>
      </c>
      <c r="B407" s="3" t="s">
        <v>640</v>
      </c>
      <c r="C407" s="3" t="s">
        <v>50</v>
      </c>
      <c r="D407" s="12">
        <v>1009116</v>
      </c>
      <c r="F407" s="3" t="str">
        <f t="shared" si="23"/>
        <v>BB01-1009116</v>
      </c>
      <c r="G407" s="3" t="str">
        <f t="shared" si="24"/>
        <v>BB01-1009116, CONNECTOR, SURLOK EMI, 10MM, RIGHT ANGLE, 10-738728</v>
      </c>
      <c r="H407" s="3" t="s">
        <v>296</v>
      </c>
      <c r="I407" s="3" t="s">
        <v>293</v>
      </c>
      <c r="J407" s="14" t="s">
        <v>51</v>
      </c>
      <c r="K407" s="3" t="s">
        <v>415</v>
      </c>
    </row>
    <row r="408" spans="1:11" x14ac:dyDescent="0.25">
      <c r="A408" s="9">
        <v>45631.530648148146</v>
      </c>
      <c r="B408" s="3" t="s">
        <v>644</v>
      </c>
      <c r="C408" s="3" t="s">
        <v>50</v>
      </c>
      <c r="D408" s="12">
        <v>1315926</v>
      </c>
      <c r="F408" s="3" t="str">
        <f t="shared" ref="F408" si="25">C408&amp;"-"&amp;D408</f>
        <v>BB01-1315926</v>
      </c>
      <c r="G408" s="3" t="str">
        <f t="shared" ref="G408" si="26">CONCATENATE(F408,", ",B408)</f>
        <v>BB01-1315926, ASSY, BUS BARS, MCU, BATT-SIDE, BRILL DESIGN</v>
      </c>
      <c r="H408" s="3" t="s">
        <v>296</v>
      </c>
      <c r="I408" s="3" t="s">
        <v>293</v>
      </c>
      <c r="J408" s="14" t="s">
        <v>51</v>
      </c>
      <c r="K408" s="3" t="s">
        <v>415</v>
      </c>
    </row>
    <row r="409" spans="1:11" x14ac:dyDescent="0.25">
      <c r="A409" s="9">
        <v>45638.334120370368</v>
      </c>
      <c r="B409" s="3" t="s">
        <v>646</v>
      </c>
      <c r="C409" s="3" t="s">
        <v>50</v>
      </c>
      <c r="D409" s="12">
        <v>9320341</v>
      </c>
      <c r="F409" s="3" t="str">
        <f t="shared" ref="F409" si="27">C409&amp;"-"&amp;D409</f>
        <v>BB01-9320341</v>
      </c>
      <c r="G409" s="3" t="str">
        <f t="shared" ref="G409" si="28">CONCATENATE(F409,", ",B409)</f>
        <v>BB01-9320341, FAN, 18CFM, 12V, CFM-6010B-150-326-22</v>
      </c>
      <c r="H409" s="3" t="s">
        <v>296</v>
      </c>
      <c r="I409" s="3" t="s">
        <v>293</v>
      </c>
      <c r="J409" s="14" t="s">
        <v>51</v>
      </c>
      <c r="K409" s="3" t="s">
        <v>415</v>
      </c>
    </row>
    <row r="410" spans="1:11" x14ac:dyDescent="0.25">
      <c r="A410" s="24">
        <v>45607.602777777778</v>
      </c>
      <c r="B410" s="23" t="s">
        <v>654</v>
      </c>
      <c r="C410" s="23" t="s">
        <v>50</v>
      </c>
      <c r="D410" s="25">
        <v>7687773</v>
      </c>
      <c r="E410" s="23"/>
      <c r="F410" s="23" t="s">
        <v>655</v>
      </c>
      <c r="G410" s="23" t="s">
        <v>656</v>
      </c>
      <c r="H410" s="23" t="s">
        <v>296</v>
      </c>
      <c r="I410" s="23" t="s">
        <v>657</v>
      </c>
      <c r="J410" s="14" t="s">
        <v>483</v>
      </c>
      <c r="K410" s="23" t="s">
        <v>520</v>
      </c>
    </row>
    <row r="411" spans="1:11" x14ac:dyDescent="0.25">
      <c r="A411" s="24">
        <v>45607.612500000003</v>
      </c>
      <c r="B411" s="23" t="s">
        <v>658</v>
      </c>
      <c r="C411" s="23" t="s">
        <v>50</v>
      </c>
      <c r="D411" s="25">
        <v>8669437</v>
      </c>
      <c r="E411" s="23"/>
      <c r="F411" s="23" t="s">
        <v>659</v>
      </c>
      <c r="G411" s="23" t="s">
        <v>660</v>
      </c>
      <c r="H411" s="23" t="s">
        <v>296</v>
      </c>
      <c r="I411" s="23" t="s">
        <v>661</v>
      </c>
      <c r="J411" s="14" t="s">
        <v>483</v>
      </c>
      <c r="K411" s="23" t="s">
        <v>520</v>
      </c>
    </row>
    <row r="412" spans="1:11" x14ac:dyDescent="0.25">
      <c r="A412" s="24">
        <v>45607.618750000001</v>
      </c>
      <c r="B412" s="23" t="s">
        <v>662</v>
      </c>
      <c r="C412" s="23" t="s">
        <v>50</v>
      </c>
      <c r="D412" s="25">
        <v>2719380</v>
      </c>
      <c r="E412" s="23"/>
      <c r="F412" s="23" t="s">
        <v>663</v>
      </c>
      <c r="G412" s="23" t="s">
        <v>664</v>
      </c>
      <c r="H412" s="23" t="s">
        <v>296</v>
      </c>
      <c r="I412" s="23" t="s">
        <v>661</v>
      </c>
      <c r="J412" s="14" t="s">
        <v>483</v>
      </c>
      <c r="K412" s="23" t="s">
        <v>520</v>
      </c>
    </row>
    <row r="413" spans="1:11" x14ac:dyDescent="0.25">
      <c r="A413" s="24">
        <v>45607.623611111114</v>
      </c>
      <c r="B413" s="23" t="s">
        <v>665</v>
      </c>
      <c r="C413" s="23" t="s">
        <v>50</v>
      </c>
      <c r="D413" s="25">
        <v>4986653</v>
      </c>
      <c r="E413" s="23"/>
      <c r="F413" s="23" t="s">
        <v>666</v>
      </c>
      <c r="G413" s="23" t="s">
        <v>667</v>
      </c>
      <c r="H413" s="23" t="s">
        <v>296</v>
      </c>
      <c r="I413" s="23" t="s">
        <v>661</v>
      </c>
      <c r="J413" s="14" t="s">
        <v>483</v>
      </c>
      <c r="K413" s="23" t="s">
        <v>520</v>
      </c>
    </row>
    <row r="414" spans="1:11" x14ac:dyDescent="0.25">
      <c r="A414" s="24">
        <v>45607.626388888886</v>
      </c>
      <c r="B414" s="23" t="s">
        <v>668</v>
      </c>
      <c r="C414" s="23" t="s">
        <v>50</v>
      </c>
      <c r="D414" s="25">
        <v>9149735</v>
      </c>
      <c r="E414" s="23"/>
      <c r="F414" s="23" t="s">
        <v>669</v>
      </c>
      <c r="G414" s="23" t="s">
        <v>670</v>
      </c>
      <c r="H414" s="23" t="s">
        <v>296</v>
      </c>
      <c r="I414" s="23" t="s">
        <v>661</v>
      </c>
      <c r="J414" s="14" t="s">
        <v>483</v>
      </c>
      <c r="K414" s="23" t="s">
        <v>520</v>
      </c>
    </row>
    <row r="415" spans="1:11" x14ac:dyDescent="0.25">
      <c r="A415" s="24">
        <v>45607.634027777778</v>
      </c>
      <c r="B415" s="23" t="s">
        <v>671</v>
      </c>
      <c r="C415" s="23" t="s">
        <v>50</v>
      </c>
      <c r="D415" s="25">
        <v>3119173</v>
      </c>
      <c r="E415" s="23"/>
      <c r="F415" s="23" t="s">
        <v>672</v>
      </c>
      <c r="G415" s="23" t="s">
        <v>673</v>
      </c>
      <c r="H415" s="23" t="s">
        <v>296</v>
      </c>
      <c r="I415" s="23" t="s">
        <v>661</v>
      </c>
      <c r="J415" s="14" t="s">
        <v>483</v>
      </c>
      <c r="K415" s="23" t="s">
        <v>520</v>
      </c>
    </row>
    <row r="416" spans="1:11" x14ac:dyDescent="0.25">
      <c r="A416" s="24">
        <v>45607.63958333333</v>
      </c>
      <c r="B416" s="23" t="s">
        <v>674</v>
      </c>
      <c r="C416" s="23" t="s">
        <v>50</v>
      </c>
      <c r="D416" s="25">
        <v>2182504</v>
      </c>
      <c r="E416" s="23"/>
      <c r="F416" s="23" t="s">
        <v>675</v>
      </c>
      <c r="G416" s="23" t="s">
        <v>676</v>
      </c>
      <c r="H416" s="23" t="s">
        <v>296</v>
      </c>
      <c r="I416" s="23" t="s">
        <v>661</v>
      </c>
      <c r="J416" s="14" t="s">
        <v>483</v>
      </c>
      <c r="K416" s="23" t="s">
        <v>520</v>
      </c>
    </row>
    <row r="417" spans="1:11" x14ac:dyDescent="0.25">
      <c r="A417" s="24">
        <v>45607.647222222222</v>
      </c>
      <c r="B417" s="23" t="s">
        <v>677</v>
      </c>
      <c r="C417" s="23" t="s">
        <v>50</v>
      </c>
      <c r="D417" s="25">
        <v>8259065</v>
      </c>
      <c r="E417" s="23"/>
      <c r="F417" s="23" t="s">
        <v>678</v>
      </c>
      <c r="G417" s="23" t="s">
        <v>679</v>
      </c>
      <c r="H417" s="23" t="s">
        <v>296</v>
      </c>
      <c r="I417" s="23" t="s">
        <v>661</v>
      </c>
      <c r="J417" s="14" t="s">
        <v>483</v>
      </c>
      <c r="K417" s="23" t="s">
        <v>520</v>
      </c>
    </row>
    <row r="418" spans="1:11" x14ac:dyDescent="0.25">
      <c r="A418" s="24">
        <v>45607.726388888892</v>
      </c>
      <c r="B418" s="23" t="s">
        <v>680</v>
      </c>
      <c r="C418" s="23" t="s">
        <v>50</v>
      </c>
      <c r="D418" s="25">
        <v>6044648</v>
      </c>
      <c r="E418" s="23"/>
      <c r="F418" s="23" t="s">
        <v>681</v>
      </c>
      <c r="G418" s="23" t="s">
        <v>682</v>
      </c>
      <c r="H418" s="23" t="s">
        <v>296</v>
      </c>
      <c r="I418" s="23" t="s">
        <v>293</v>
      </c>
      <c r="J418" s="14" t="s">
        <v>483</v>
      </c>
      <c r="K418" s="23" t="s">
        <v>394</v>
      </c>
    </row>
    <row r="419" spans="1:11" x14ac:dyDescent="0.25">
      <c r="A419" s="24">
        <v>45607.728472222225</v>
      </c>
      <c r="B419" s="23" t="s">
        <v>683</v>
      </c>
      <c r="C419" s="23" t="s">
        <v>50</v>
      </c>
      <c r="D419" s="25">
        <v>8065910</v>
      </c>
      <c r="E419" s="23"/>
      <c r="F419" s="23" t="s">
        <v>684</v>
      </c>
      <c r="G419" s="23" t="s">
        <v>685</v>
      </c>
      <c r="H419" s="23" t="s">
        <v>296</v>
      </c>
      <c r="I419" s="23" t="s">
        <v>293</v>
      </c>
      <c r="J419" s="14" t="s">
        <v>483</v>
      </c>
      <c r="K419" s="23" t="s">
        <v>394</v>
      </c>
    </row>
    <row r="420" spans="1:11" x14ac:dyDescent="0.25">
      <c r="A420" s="24">
        <v>45610.461805555555</v>
      </c>
      <c r="B420" s="23" t="s">
        <v>686</v>
      </c>
      <c r="C420" s="23" t="s">
        <v>50</v>
      </c>
      <c r="D420" s="25">
        <v>6920565</v>
      </c>
      <c r="E420" s="23"/>
      <c r="F420" s="23" t="s">
        <v>687</v>
      </c>
      <c r="G420" s="23" t="s">
        <v>688</v>
      </c>
      <c r="H420" s="23" t="s">
        <v>296</v>
      </c>
      <c r="I420" s="23" t="s">
        <v>293</v>
      </c>
      <c r="J420" s="14" t="s">
        <v>483</v>
      </c>
      <c r="K420" s="23" t="s">
        <v>520</v>
      </c>
    </row>
    <row r="421" spans="1:11" x14ac:dyDescent="0.25">
      <c r="A421" s="24">
        <v>45610.759027777778</v>
      </c>
      <c r="B421" s="23" t="s">
        <v>689</v>
      </c>
      <c r="C421" s="23" t="s">
        <v>50</v>
      </c>
      <c r="D421" s="25">
        <v>6014529</v>
      </c>
      <c r="E421" s="23"/>
      <c r="F421" s="23" t="s">
        <v>690</v>
      </c>
      <c r="G421" s="23" t="s">
        <v>691</v>
      </c>
      <c r="H421" s="23" t="s">
        <v>296</v>
      </c>
      <c r="I421" s="23" t="s">
        <v>657</v>
      </c>
      <c r="J421" s="14" t="s">
        <v>483</v>
      </c>
      <c r="K421" s="23" t="s">
        <v>520</v>
      </c>
    </row>
    <row r="422" spans="1:11" x14ac:dyDescent="0.25">
      <c r="A422" s="24">
        <v>45610.759027777778</v>
      </c>
      <c r="B422" s="23" t="s">
        <v>692</v>
      </c>
      <c r="C422" s="23" t="s">
        <v>50</v>
      </c>
      <c r="D422" s="25">
        <v>2323057</v>
      </c>
      <c r="E422" s="23"/>
      <c r="F422" s="23" t="s">
        <v>693</v>
      </c>
      <c r="G422" s="23" t="s">
        <v>694</v>
      </c>
      <c r="H422" s="23" t="s">
        <v>296</v>
      </c>
      <c r="I422" s="23" t="s">
        <v>657</v>
      </c>
      <c r="J422" s="14" t="s">
        <v>483</v>
      </c>
      <c r="K422" s="23" t="s">
        <v>520</v>
      </c>
    </row>
    <row r="423" spans="1:11" x14ac:dyDescent="0.25">
      <c r="A423" s="24">
        <v>45610.761805555558</v>
      </c>
      <c r="B423" s="23" t="s">
        <v>695</v>
      </c>
      <c r="C423" s="23" t="s">
        <v>50</v>
      </c>
      <c r="D423" s="25">
        <v>8567844</v>
      </c>
      <c r="E423" s="23"/>
      <c r="F423" s="23" t="s">
        <v>696</v>
      </c>
      <c r="G423" s="23" t="s">
        <v>697</v>
      </c>
      <c r="H423" s="23" t="s">
        <v>296</v>
      </c>
      <c r="I423" s="23" t="s">
        <v>657</v>
      </c>
      <c r="J423" s="14" t="s">
        <v>483</v>
      </c>
      <c r="K423" s="23" t="s">
        <v>520</v>
      </c>
    </row>
    <row r="424" spans="1:11" x14ac:dyDescent="0.25">
      <c r="A424" s="24">
        <v>45610.76666666667</v>
      </c>
      <c r="B424" s="23" t="s">
        <v>698</v>
      </c>
      <c r="C424" s="23" t="s">
        <v>50</v>
      </c>
      <c r="D424" s="25">
        <v>1499371</v>
      </c>
      <c r="E424" s="23"/>
      <c r="F424" s="23" t="s">
        <v>699</v>
      </c>
      <c r="G424" s="23" t="s">
        <v>700</v>
      </c>
      <c r="H424" s="23" t="s">
        <v>296</v>
      </c>
      <c r="I424" s="23" t="s">
        <v>657</v>
      </c>
      <c r="J424" s="14" t="s">
        <v>483</v>
      </c>
      <c r="K424" s="23" t="s">
        <v>520</v>
      </c>
    </row>
    <row r="425" spans="1:11" x14ac:dyDescent="0.25">
      <c r="A425" s="24">
        <v>45610.822222222225</v>
      </c>
      <c r="B425" s="23" t="s">
        <v>701</v>
      </c>
      <c r="C425" s="23" t="s">
        <v>50</v>
      </c>
      <c r="D425" s="25">
        <v>8147915</v>
      </c>
      <c r="E425" s="23"/>
      <c r="F425" s="23" t="s">
        <v>702</v>
      </c>
      <c r="G425" s="23" t="s">
        <v>703</v>
      </c>
      <c r="H425" s="23" t="s">
        <v>296</v>
      </c>
      <c r="I425" s="23" t="s">
        <v>657</v>
      </c>
      <c r="J425" s="14" t="s">
        <v>483</v>
      </c>
      <c r="K425" s="23" t="s">
        <v>520</v>
      </c>
    </row>
    <row r="426" spans="1:11" x14ac:dyDescent="0.25">
      <c r="A426" s="24">
        <v>45610.822222222225</v>
      </c>
      <c r="B426" s="23" t="s">
        <v>704</v>
      </c>
      <c r="C426" s="23" t="s">
        <v>50</v>
      </c>
      <c r="D426" s="25">
        <v>8109469</v>
      </c>
      <c r="E426" s="23"/>
      <c r="F426" s="23" t="s">
        <v>705</v>
      </c>
      <c r="G426" s="23" t="s">
        <v>706</v>
      </c>
      <c r="H426" s="23" t="s">
        <v>296</v>
      </c>
      <c r="I426" s="23" t="s">
        <v>657</v>
      </c>
      <c r="J426" s="14" t="s">
        <v>483</v>
      </c>
      <c r="K426" s="23" t="s">
        <v>520</v>
      </c>
    </row>
    <row r="427" spans="1:11" x14ac:dyDescent="0.25">
      <c r="A427" s="24">
        <v>45610.824999999997</v>
      </c>
      <c r="B427" s="23" t="s">
        <v>707</v>
      </c>
      <c r="C427" s="23" t="s">
        <v>50</v>
      </c>
      <c r="D427" s="25">
        <v>2616598</v>
      </c>
      <c r="E427" s="23"/>
      <c r="F427" s="23" t="s">
        <v>708</v>
      </c>
      <c r="G427" s="23" t="s">
        <v>709</v>
      </c>
      <c r="H427" s="23" t="s">
        <v>296</v>
      </c>
      <c r="I427" s="23" t="s">
        <v>293</v>
      </c>
      <c r="J427" s="14" t="s">
        <v>483</v>
      </c>
      <c r="K427" s="23" t="s">
        <v>520</v>
      </c>
    </row>
    <row r="428" spans="1:11" x14ac:dyDescent="0.25">
      <c r="A428" s="24">
        <v>45610.826388888891</v>
      </c>
      <c r="B428" s="23" t="s">
        <v>710</v>
      </c>
      <c r="C428" s="23" t="s">
        <v>50</v>
      </c>
      <c r="D428" s="25">
        <v>9184251</v>
      </c>
      <c r="E428" s="23"/>
      <c r="F428" s="23" t="s">
        <v>711</v>
      </c>
      <c r="G428" s="23" t="s">
        <v>712</v>
      </c>
      <c r="H428" s="23" t="s">
        <v>296</v>
      </c>
      <c r="I428" s="23" t="s">
        <v>293</v>
      </c>
      <c r="J428" s="14" t="s">
        <v>483</v>
      </c>
      <c r="K428" s="23" t="s">
        <v>520</v>
      </c>
    </row>
    <row r="429" spans="1:11" x14ac:dyDescent="0.25">
      <c r="A429" s="24">
        <v>45615.597916666666</v>
      </c>
      <c r="B429" s="23" t="s">
        <v>713</v>
      </c>
      <c r="C429" s="23" t="s">
        <v>50</v>
      </c>
      <c r="D429" s="25">
        <v>7841767</v>
      </c>
      <c r="E429" s="23"/>
      <c r="F429" s="23" t="s">
        <v>714</v>
      </c>
      <c r="G429" s="23" t="s">
        <v>715</v>
      </c>
      <c r="H429" s="23" t="s">
        <v>296</v>
      </c>
      <c r="I429" s="23" t="s">
        <v>293</v>
      </c>
      <c r="J429" s="14" t="s">
        <v>483</v>
      </c>
      <c r="K429" s="23" t="s">
        <v>520</v>
      </c>
    </row>
    <row r="430" spans="1:11" x14ac:dyDescent="0.25">
      <c r="A430" s="24">
        <v>45615.597916666666</v>
      </c>
      <c r="B430" s="23" t="s">
        <v>716</v>
      </c>
      <c r="C430" s="23" t="s">
        <v>50</v>
      </c>
      <c r="D430" s="25">
        <v>5716897</v>
      </c>
      <c r="E430" s="23"/>
      <c r="F430" s="23" t="s">
        <v>717</v>
      </c>
      <c r="G430" s="23" t="s">
        <v>718</v>
      </c>
      <c r="H430" s="23" t="s">
        <v>296</v>
      </c>
      <c r="I430" s="23" t="s">
        <v>293</v>
      </c>
      <c r="J430" s="14" t="s">
        <v>483</v>
      </c>
      <c r="K430" s="23" t="s">
        <v>520</v>
      </c>
    </row>
    <row r="431" spans="1:11" x14ac:dyDescent="0.25">
      <c r="A431" s="24">
        <v>45615.6</v>
      </c>
      <c r="B431" s="23" t="s">
        <v>719</v>
      </c>
      <c r="C431" s="23" t="s">
        <v>50</v>
      </c>
      <c r="D431" s="25">
        <v>2286979</v>
      </c>
      <c r="E431" s="23"/>
      <c r="F431" s="23" t="s">
        <v>720</v>
      </c>
      <c r="G431" s="23" t="s">
        <v>721</v>
      </c>
      <c r="H431" s="23" t="s">
        <v>296</v>
      </c>
      <c r="I431" s="23" t="s">
        <v>293</v>
      </c>
      <c r="J431" s="14" t="s">
        <v>483</v>
      </c>
      <c r="K431" s="23" t="s">
        <v>520</v>
      </c>
    </row>
    <row r="432" spans="1:11" x14ac:dyDescent="0.25">
      <c r="A432" s="24">
        <v>45615.6</v>
      </c>
      <c r="B432" s="23" t="s">
        <v>722</v>
      </c>
      <c r="C432" s="23" t="s">
        <v>50</v>
      </c>
      <c r="D432" s="25">
        <v>3731595</v>
      </c>
      <c r="E432" s="23"/>
      <c r="F432" s="23" t="s">
        <v>723</v>
      </c>
      <c r="G432" s="23" t="s">
        <v>724</v>
      </c>
      <c r="H432" s="23" t="s">
        <v>296</v>
      </c>
      <c r="I432" s="23" t="s">
        <v>293</v>
      </c>
      <c r="J432" s="14" t="s">
        <v>483</v>
      </c>
      <c r="K432" s="23" t="s">
        <v>520</v>
      </c>
    </row>
    <row r="433" spans="1:11" x14ac:dyDescent="0.25">
      <c r="A433" s="24">
        <v>45615.6</v>
      </c>
      <c r="B433" s="23" t="s">
        <v>725</v>
      </c>
      <c r="C433" s="23" t="s">
        <v>50</v>
      </c>
      <c r="D433" s="25">
        <v>9921130</v>
      </c>
      <c r="E433" s="23"/>
      <c r="F433" s="23" t="s">
        <v>726</v>
      </c>
      <c r="G433" s="23" t="s">
        <v>727</v>
      </c>
      <c r="H433" s="23" t="s">
        <v>296</v>
      </c>
      <c r="I433" s="23" t="s">
        <v>293</v>
      </c>
      <c r="J433" s="14" t="s">
        <v>483</v>
      </c>
      <c r="K433" s="23" t="s">
        <v>520</v>
      </c>
    </row>
    <row r="434" spans="1:11" x14ac:dyDescent="0.25">
      <c r="A434" s="24">
        <v>45615.6</v>
      </c>
      <c r="B434" s="23" t="s">
        <v>728</v>
      </c>
      <c r="C434" s="23" t="s">
        <v>50</v>
      </c>
      <c r="D434" s="25">
        <v>6271425</v>
      </c>
      <c r="E434" s="23"/>
      <c r="F434" s="23" t="s">
        <v>729</v>
      </c>
      <c r="G434" s="23" t="s">
        <v>730</v>
      </c>
      <c r="H434" s="23" t="s">
        <v>296</v>
      </c>
      <c r="I434" s="23" t="s">
        <v>293</v>
      </c>
      <c r="J434" s="14" t="s">
        <v>483</v>
      </c>
      <c r="K434" s="23" t="s">
        <v>520</v>
      </c>
    </row>
    <row r="435" spans="1:11" x14ac:dyDescent="0.25">
      <c r="A435" s="24">
        <v>45615.603472222225</v>
      </c>
      <c r="B435" s="23" t="s">
        <v>731</v>
      </c>
      <c r="C435" s="23" t="s">
        <v>50</v>
      </c>
      <c r="D435" s="25">
        <v>9674033</v>
      </c>
      <c r="E435" s="23"/>
      <c r="F435" s="23" t="s">
        <v>732</v>
      </c>
      <c r="G435" s="23" t="s">
        <v>733</v>
      </c>
      <c r="H435" s="23" t="s">
        <v>296</v>
      </c>
      <c r="I435" s="23" t="s">
        <v>293</v>
      </c>
      <c r="J435" s="14" t="s">
        <v>483</v>
      </c>
      <c r="K435" s="23" t="s">
        <v>520</v>
      </c>
    </row>
    <row r="436" spans="1:11" x14ac:dyDescent="0.25">
      <c r="A436" s="24">
        <v>45615.603472222225</v>
      </c>
      <c r="B436" s="23" t="s">
        <v>734</v>
      </c>
      <c r="C436" s="23" t="s">
        <v>50</v>
      </c>
      <c r="D436" s="25">
        <v>2601430</v>
      </c>
      <c r="E436" s="23"/>
      <c r="F436" s="23" t="s">
        <v>735</v>
      </c>
      <c r="G436" s="23" t="s">
        <v>736</v>
      </c>
      <c r="H436" s="23" t="s">
        <v>296</v>
      </c>
      <c r="I436" s="23" t="s">
        <v>293</v>
      </c>
      <c r="J436" s="14" t="s">
        <v>483</v>
      </c>
      <c r="K436" s="23" t="s">
        <v>520</v>
      </c>
    </row>
    <row r="437" spans="1:11" x14ac:dyDescent="0.25">
      <c r="A437" s="24">
        <v>45615.60833333333</v>
      </c>
      <c r="B437" s="23" t="s">
        <v>737</v>
      </c>
      <c r="C437" s="23" t="s">
        <v>50</v>
      </c>
      <c r="D437" s="25">
        <v>4410580</v>
      </c>
      <c r="E437" s="23"/>
      <c r="F437" s="23" t="s">
        <v>738</v>
      </c>
      <c r="G437" s="23" t="s">
        <v>739</v>
      </c>
      <c r="H437" s="23" t="s">
        <v>296</v>
      </c>
      <c r="I437" s="23" t="s">
        <v>293</v>
      </c>
      <c r="J437" s="14" t="s">
        <v>483</v>
      </c>
      <c r="K437" s="23" t="s">
        <v>520</v>
      </c>
    </row>
    <row r="438" spans="1:11" x14ac:dyDescent="0.25">
      <c r="A438" s="24">
        <v>45615.638194444444</v>
      </c>
      <c r="B438" s="23" t="s">
        <v>740</v>
      </c>
      <c r="C438" s="23" t="s">
        <v>50</v>
      </c>
      <c r="D438" s="25">
        <v>1663544</v>
      </c>
      <c r="E438" s="23"/>
      <c r="F438" s="23" t="s">
        <v>741</v>
      </c>
      <c r="G438" s="23" t="s">
        <v>742</v>
      </c>
      <c r="H438" s="23" t="s">
        <v>296</v>
      </c>
      <c r="I438" s="23" t="s">
        <v>657</v>
      </c>
      <c r="J438" s="14" t="s">
        <v>483</v>
      </c>
      <c r="K438" s="23" t="s">
        <v>520</v>
      </c>
    </row>
    <row r="439" spans="1:11" x14ac:dyDescent="0.25">
      <c r="A439" s="24">
        <v>45615.657638888886</v>
      </c>
      <c r="B439" s="23" t="s">
        <v>743</v>
      </c>
      <c r="C439" s="23" t="s">
        <v>50</v>
      </c>
      <c r="D439" s="25">
        <v>1685037</v>
      </c>
      <c r="E439" s="23"/>
      <c r="F439" s="23" t="s">
        <v>744</v>
      </c>
      <c r="G439" s="23" t="s">
        <v>745</v>
      </c>
      <c r="H439" s="23" t="s">
        <v>296</v>
      </c>
      <c r="I439" s="23" t="s">
        <v>657</v>
      </c>
      <c r="J439" s="14" t="s">
        <v>483</v>
      </c>
      <c r="K439" s="23" t="s">
        <v>520</v>
      </c>
    </row>
    <row r="440" spans="1:11" x14ac:dyDescent="0.25">
      <c r="A440" s="24">
        <v>45617.452777777777</v>
      </c>
      <c r="B440" s="23" t="s">
        <v>746</v>
      </c>
      <c r="C440" s="23" t="s">
        <v>50</v>
      </c>
      <c r="D440" s="25">
        <v>3505076</v>
      </c>
      <c r="E440" s="23"/>
      <c r="F440" s="23" t="s">
        <v>747</v>
      </c>
      <c r="G440" s="23" t="s">
        <v>748</v>
      </c>
      <c r="H440" s="23" t="s">
        <v>296</v>
      </c>
      <c r="I440" s="23" t="s">
        <v>661</v>
      </c>
      <c r="J440" s="14" t="s">
        <v>483</v>
      </c>
      <c r="K440" s="23" t="s">
        <v>520</v>
      </c>
    </row>
    <row r="441" spans="1:11" x14ac:dyDescent="0.25">
      <c r="A441" s="24">
        <v>45617.487500000003</v>
      </c>
      <c r="B441" s="23" t="s">
        <v>749</v>
      </c>
      <c r="C441" s="23" t="s">
        <v>50</v>
      </c>
      <c r="D441" s="25">
        <v>5092437</v>
      </c>
      <c r="E441" s="23"/>
      <c r="F441" s="23" t="s">
        <v>750</v>
      </c>
      <c r="G441" s="23" t="s">
        <v>751</v>
      </c>
      <c r="H441" s="23" t="s">
        <v>296</v>
      </c>
      <c r="I441" s="23" t="s">
        <v>661</v>
      </c>
      <c r="J441" s="14" t="s">
        <v>483</v>
      </c>
      <c r="K441" s="23" t="s">
        <v>520</v>
      </c>
    </row>
    <row r="442" spans="1:11" x14ac:dyDescent="0.25">
      <c r="A442" s="24">
        <v>45617.859027777777</v>
      </c>
      <c r="B442" s="23" t="s">
        <v>752</v>
      </c>
      <c r="C442" s="23" t="s">
        <v>50</v>
      </c>
      <c r="D442" s="25">
        <v>7594484</v>
      </c>
      <c r="E442" s="23"/>
      <c r="F442" s="23" t="s">
        <v>753</v>
      </c>
      <c r="G442" s="23" t="s">
        <v>754</v>
      </c>
      <c r="H442" s="23" t="s">
        <v>296</v>
      </c>
      <c r="I442" s="23" t="s">
        <v>293</v>
      </c>
      <c r="J442" s="14" t="s">
        <v>483</v>
      </c>
      <c r="K442" s="23" t="s">
        <v>520</v>
      </c>
    </row>
    <row r="443" spans="1:11" x14ac:dyDescent="0.25">
      <c r="A443" s="24">
        <v>45617.859027777777</v>
      </c>
      <c r="B443" s="23" t="s">
        <v>755</v>
      </c>
      <c r="C443" s="23" t="s">
        <v>50</v>
      </c>
      <c r="D443" s="25">
        <v>2542406</v>
      </c>
      <c r="E443" s="23"/>
      <c r="F443" s="23" t="s">
        <v>756</v>
      </c>
      <c r="G443" s="23" t="s">
        <v>757</v>
      </c>
      <c r="H443" s="23" t="s">
        <v>296</v>
      </c>
      <c r="I443" s="23" t="s">
        <v>657</v>
      </c>
      <c r="J443" s="14" t="s">
        <v>483</v>
      </c>
      <c r="K443" s="23" t="s">
        <v>520</v>
      </c>
    </row>
    <row r="444" spans="1:11" x14ac:dyDescent="0.25">
      <c r="A444" s="24">
        <v>45617.859027777777</v>
      </c>
      <c r="B444" s="23" t="s">
        <v>758</v>
      </c>
      <c r="C444" s="23" t="s">
        <v>50</v>
      </c>
      <c r="D444" s="25">
        <v>4017390</v>
      </c>
      <c r="E444" s="23"/>
      <c r="F444" s="23" t="s">
        <v>759</v>
      </c>
      <c r="G444" s="23" t="s">
        <v>760</v>
      </c>
      <c r="H444" s="23" t="s">
        <v>296</v>
      </c>
      <c r="I444" s="23" t="s">
        <v>657</v>
      </c>
      <c r="J444" s="14" t="s">
        <v>483</v>
      </c>
      <c r="K444" s="23" t="s">
        <v>520</v>
      </c>
    </row>
    <row r="445" spans="1:11" x14ac:dyDescent="0.25">
      <c r="A445" s="24">
        <v>45617.859027777777</v>
      </c>
      <c r="B445" s="23" t="s">
        <v>761</v>
      </c>
      <c r="C445" s="23" t="s">
        <v>50</v>
      </c>
      <c r="D445" s="25">
        <v>3090712</v>
      </c>
      <c r="E445" s="23"/>
      <c r="F445" s="23" t="s">
        <v>762</v>
      </c>
      <c r="G445" s="23" t="s">
        <v>763</v>
      </c>
      <c r="H445" s="23" t="s">
        <v>296</v>
      </c>
      <c r="I445" s="23" t="s">
        <v>293</v>
      </c>
      <c r="J445" s="14" t="s">
        <v>483</v>
      </c>
      <c r="K445" s="23" t="s">
        <v>520</v>
      </c>
    </row>
    <row r="446" spans="1:11" x14ac:dyDescent="0.25">
      <c r="A446" s="24">
        <v>45617.859027777777</v>
      </c>
      <c r="B446" s="23" t="s">
        <v>764</v>
      </c>
      <c r="C446" s="23" t="s">
        <v>50</v>
      </c>
      <c r="D446" s="25">
        <v>1041728</v>
      </c>
      <c r="E446" s="23"/>
      <c r="F446" s="23" t="s">
        <v>765</v>
      </c>
      <c r="G446" s="23" t="s">
        <v>766</v>
      </c>
      <c r="H446" s="23" t="s">
        <v>296</v>
      </c>
      <c r="I446" s="23" t="s">
        <v>293</v>
      </c>
      <c r="J446" s="14" t="s">
        <v>483</v>
      </c>
      <c r="K446" s="23" t="s">
        <v>520</v>
      </c>
    </row>
    <row r="447" spans="1:11" x14ac:dyDescent="0.25">
      <c r="A447" s="24">
        <v>45617.865277777775</v>
      </c>
      <c r="B447" s="23" t="s">
        <v>767</v>
      </c>
      <c r="C447" s="23" t="s">
        <v>50</v>
      </c>
      <c r="D447" s="25">
        <v>9580539</v>
      </c>
      <c r="E447" s="23"/>
      <c r="F447" s="23" t="s">
        <v>768</v>
      </c>
      <c r="G447" s="23" t="s">
        <v>769</v>
      </c>
      <c r="H447" s="23" t="s">
        <v>296</v>
      </c>
      <c r="I447" s="23" t="s">
        <v>293</v>
      </c>
      <c r="J447" s="14" t="s">
        <v>483</v>
      </c>
      <c r="K447" s="23" t="s">
        <v>520</v>
      </c>
    </row>
    <row r="448" spans="1:11" x14ac:dyDescent="0.25">
      <c r="A448" s="24">
        <v>45617.865277777775</v>
      </c>
      <c r="B448" s="23" t="s">
        <v>770</v>
      </c>
      <c r="C448" s="23" t="s">
        <v>50</v>
      </c>
      <c r="D448" s="25">
        <v>8380895</v>
      </c>
      <c r="E448" s="23"/>
      <c r="F448" s="23" t="s">
        <v>771</v>
      </c>
      <c r="G448" s="23" t="s">
        <v>772</v>
      </c>
      <c r="H448" s="23" t="s">
        <v>296</v>
      </c>
      <c r="I448" s="23" t="s">
        <v>657</v>
      </c>
      <c r="J448" s="14" t="s">
        <v>483</v>
      </c>
      <c r="K448" s="23" t="s">
        <v>520</v>
      </c>
    </row>
    <row r="449" spans="1:11" x14ac:dyDescent="0.25">
      <c r="A449" s="24">
        <v>45617.89166666667</v>
      </c>
      <c r="B449" s="23" t="s">
        <v>773</v>
      </c>
      <c r="C449" s="23" t="s">
        <v>50</v>
      </c>
      <c r="D449" s="25">
        <v>9854701</v>
      </c>
      <c r="E449" s="23"/>
      <c r="F449" s="23" t="s">
        <v>774</v>
      </c>
      <c r="G449" s="23" t="s">
        <v>775</v>
      </c>
      <c r="H449" s="23" t="s">
        <v>296</v>
      </c>
      <c r="I449" s="23" t="s">
        <v>657</v>
      </c>
      <c r="J449" s="14" t="s">
        <v>483</v>
      </c>
      <c r="K449" s="23" t="s">
        <v>520</v>
      </c>
    </row>
    <row r="450" spans="1:11" x14ac:dyDescent="0.25">
      <c r="A450" s="24">
        <v>45617.89166666667</v>
      </c>
      <c r="B450" s="23" t="s">
        <v>776</v>
      </c>
      <c r="C450" s="23" t="s">
        <v>50</v>
      </c>
      <c r="D450" s="25">
        <v>2228920</v>
      </c>
      <c r="E450" s="23"/>
      <c r="F450" s="23" t="s">
        <v>777</v>
      </c>
      <c r="G450" s="23" t="s">
        <v>778</v>
      </c>
      <c r="H450" s="23" t="s">
        <v>296</v>
      </c>
      <c r="I450" s="23" t="s">
        <v>657</v>
      </c>
      <c r="J450" s="14" t="s">
        <v>483</v>
      </c>
      <c r="K450" s="23" t="s">
        <v>520</v>
      </c>
    </row>
    <row r="451" spans="1:11" x14ac:dyDescent="0.25">
      <c r="A451" s="24">
        <v>45617.911805555559</v>
      </c>
      <c r="B451" s="23" t="s">
        <v>779</v>
      </c>
      <c r="C451" s="23" t="s">
        <v>50</v>
      </c>
      <c r="D451" s="25">
        <v>2220967</v>
      </c>
      <c r="E451" s="23"/>
      <c r="F451" s="23" t="s">
        <v>780</v>
      </c>
      <c r="G451" s="23" t="s">
        <v>781</v>
      </c>
      <c r="H451" s="23" t="s">
        <v>296</v>
      </c>
      <c r="I451" s="23" t="s">
        <v>657</v>
      </c>
      <c r="J451" s="14" t="s">
        <v>483</v>
      </c>
      <c r="K451" s="23" t="s">
        <v>520</v>
      </c>
    </row>
    <row r="452" spans="1:11" x14ac:dyDescent="0.25">
      <c r="A452" s="24">
        <v>45617.911805555559</v>
      </c>
      <c r="B452" s="23" t="s">
        <v>782</v>
      </c>
      <c r="C452" s="23" t="s">
        <v>50</v>
      </c>
      <c r="D452" s="25">
        <v>7879320</v>
      </c>
      <c r="E452" s="23"/>
      <c r="F452" s="23" t="s">
        <v>783</v>
      </c>
      <c r="G452" s="23" t="s">
        <v>784</v>
      </c>
      <c r="H452" s="23" t="s">
        <v>296</v>
      </c>
      <c r="I452" s="23" t="s">
        <v>657</v>
      </c>
      <c r="J452" s="14" t="s">
        <v>483</v>
      </c>
      <c r="K452" s="23" t="s">
        <v>520</v>
      </c>
    </row>
    <row r="453" spans="1:11" x14ac:dyDescent="0.25">
      <c r="A453" s="24">
        <v>45617.918055555558</v>
      </c>
      <c r="B453" s="23" t="s">
        <v>785</v>
      </c>
      <c r="C453" s="23" t="s">
        <v>50</v>
      </c>
      <c r="D453" s="25">
        <v>4004586</v>
      </c>
      <c r="E453" s="23"/>
      <c r="F453" s="23" t="s">
        <v>786</v>
      </c>
      <c r="G453" s="23" t="s">
        <v>787</v>
      </c>
      <c r="H453" s="23" t="s">
        <v>296</v>
      </c>
      <c r="I453" s="23" t="s">
        <v>293</v>
      </c>
      <c r="J453" s="14" t="s">
        <v>483</v>
      </c>
      <c r="K453" s="23" t="s">
        <v>520</v>
      </c>
    </row>
    <row r="454" spans="1:11" x14ac:dyDescent="0.25">
      <c r="A454" s="24">
        <v>45618.62222222222</v>
      </c>
      <c r="B454" s="23" t="s">
        <v>788</v>
      </c>
      <c r="C454" s="23" t="s">
        <v>50</v>
      </c>
      <c r="D454" s="25">
        <v>1755930</v>
      </c>
      <c r="E454" s="23"/>
      <c r="F454" s="23" t="s">
        <v>789</v>
      </c>
      <c r="G454" s="23" t="s">
        <v>790</v>
      </c>
      <c r="H454" s="23" t="s">
        <v>296</v>
      </c>
      <c r="I454" s="23" t="s">
        <v>657</v>
      </c>
      <c r="J454" s="14" t="s">
        <v>483</v>
      </c>
      <c r="K454" s="23" t="s">
        <v>520</v>
      </c>
    </row>
    <row r="455" spans="1:11" x14ac:dyDescent="0.25">
      <c r="A455" s="24">
        <v>45618.62222222222</v>
      </c>
      <c r="B455" s="23" t="s">
        <v>791</v>
      </c>
      <c r="C455" s="23" t="s">
        <v>50</v>
      </c>
      <c r="D455" s="25">
        <v>6665873</v>
      </c>
      <c r="E455" s="23"/>
      <c r="F455" s="23" t="s">
        <v>792</v>
      </c>
      <c r="G455" s="23" t="s">
        <v>793</v>
      </c>
      <c r="H455" s="23" t="s">
        <v>296</v>
      </c>
      <c r="I455" s="23" t="s">
        <v>657</v>
      </c>
      <c r="J455" s="14" t="s">
        <v>483</v>
      </c>
      <c r="K455" s="23" t="s">
        <v>520</v>
      </c>
    </row>
    <row r="456" spans="1:11" x14ac:dyDescent="0.25">
      <c r="A456" s="24">
        <v>45618.774305555555</v>
      </c>
      <c r="B456" s="23" t="s">
        <v>794</v>
      </c>
      <c r="C456" s="23" t="s">
        <v>50</v>
      </c>
      <c r="D456" s="25">
        <v>5667783</v>
      </c>
      <c r="E456" s="23"/>
      <c r="F456" s="23" t="s">
        <v>795</v>
      </c>
      <c r="G456" s="23" t="s">
        <v>796</v>
      </c>
      <c r="H456" s="23" t="s">
        <v>296</v>
      </c>
      <c r="I456" s="23" t="s">
        <v>293</v>
      </c>
      <c r="J456" s="14" t="s">
        <v>483</v>
      </c>
      <c r="K456" s="23" t="s">
        <v>520</v>
      </c>
    </row>
    <row r="457" spans="1:11" x14ac:dyDescent="0.25">
      <c r="A457" s="24">
        <v>45618.774305555555</v>
      </c>
      <c r="B457" s="23" t="s">
        <v>797</v>
      </c>
      <c r="C457" s="23" t="s">
        <v>50</v>
      </c>
      <c r="D457" s="25">
        <v>8287726</v>
      </c>
      <c r="E457" s="23"/>
      <c r="F457" s="23" t="s">
        <v>798</v>
      </c>
      <c r="G457" s="23" t="s">
        <v>799</v>
      </c>
      <c r="H457" s="23" t="s">
        <v>296</v>
      </c>
      <c r="I457" s="23" t="s">
        <v>657</v>
      </c>
      <c r="J457" s="14" t="s">
        <v>483</v>
      </c>
      <c r="K457" s="23" t="s">
        <v>520</v>
      </c>
    </row>
    <row r="458" spans="1:11" x14ac:dyDescent="0.25">
      <c r="A458" s="24">
        <v>45618.774305555555</v>
      </c>
      <c r="B458" s="23" t="s">
        <v>800</v>
      </c>
      <c r="C458" s="23" t="s">
        <v>50</v>
      </c>
      <c r="D458" s="25">
        <v>7033570</v>
      </c>
      <c r="E458" s="23"/>
      <c r="F458" s="23" t="s">
        <v>801</v>
      </c>
      <c r="G458" s="23" t="s">
        <v>802</v>
      </c>
      <c r="H458" s="23" t="s">
        <v>296</v>
      </c>
      <c r="I458" s="23" t="s">
        <v>293</v>
      </c>
      <c r="J458" s="14" t="s">
        <v>483</v>
      </c>
      <c r="K458" s="23" t="s">
        <v>520</v>
      </c>
    </row>
    <row r="459" spans="1:11" x14ac:dyDescent="0.25">
      <c r="A459" s="24">
        <v>45618.774305555555</v>
      </c>
      <c r="B459" s="23" t="s">
        <v>804</v>
      </c>
      <c r="C459" s="23" t="s">
        <v>50</v>
      </c>
      <c r="D459" s="25">
        <v>2386021</v>
      </c>
      <c r="E459" s="23"/>
      <c r="F459" s="23" t="s">
        <v>803</v>
      </c>
      <c r="G459" s="23" t="str">
        <f>CONCATENATE(F459, ", ",B459)</f>
        <v>BB01-2386021, INNER DOOR HINGE SUPPORT BRACKET, ALU - 3.2MM</v>
      </c>
      <c r="H459" s="23" t="s">
        <v>296</v>
      </c>
      <c r="I459" s="23" t="s">
        <v>293</v>
      </c>
      <c r="J459" s="14" t="s">
        <v>483</v>
      </c>
      <c r="K459" s="23" t="s">
        <v>520</v>
      </c>
    </row>
    <row r="460" spans="1:11" x14ac:dyDescent="0.25">
      <c r="A460" s="24">
        <v>45642.697013888886</v>
      </c>
      <c r="B460" s="23" t="s">
        <v>805</v>
      </c>
      <c r="C460" s="23" t="s">
        <v>50</v>
      </c>
      <c r="D460" s="25">
        <v>6331541</v>
      </c>
      <c r="E460" s="23"/>
      <c r="F460" s="26" t="str">
        <f>CONCATENATE(C460,"-",D460)</f>
        <v>BB01-6331541</v>
      </c>
      <c r="G460" s="23" t="str">
        <f>CONCATENATE(F460, ", ",B460)</f>
        <v>BB01-6331541, OUTER DOOR HINGE SUPPORT BRACKET, ALU - 3.2MM</v>
      </c>
      <c r="H460" s="23" t="s">
        <v>296</v>
      </c>
      <c r="I460" s="23" t="s">
        <v>293</v>
      </c>
      <c r="J460" s="14" t="s">
        <v>483</v>
      </c>
      <c r="K460" s="23" t="s">
        <v>520</v>
      </c>
    </row>
    <row r="461" spans="1:11" x14ac:dyDescent="0.25">
      <c r="A461" s="24">
        <v>45642.70275462963</v>
      </c>
      <c r="B461" s="23" t="s">
        <v>806</v>
      </c>
      <c r="C461" s="23" t="s">
        <v>50</v>
      </c>
      <c r="D461" s="25">
        <v>7391169</v>
      </c>
      <c r="E461" s="23"/>
      <c r="F461" s="26" t="str">
        <f t="shared" ref="F461:F464" si="29">CONCATENATE(C461,"-",D461)</f>
        <v>BB01-7391169</v>
      </c>
      <c r="G461" s="23" t="str">
        <f t="shared" ref="G461:G464" si="30">CONCATENATE(F461, ", ",B461)</f>
        <v>BB01-7391169, OUTER DOOR WELDED SUPPORT BRACKET, ALU - 4.6MM</v>
      </c>
      <c r="H461" s="23" t="s">
        <v>296</v>
      </c>
      <c r="I461" s="23" t="s">
        <v>293</v>
      </c>
      <c r="J461" s="14" t="s">
        <v>483</v>
      </c>
      <c r="K461" s="23" t="s">
        <v>520</v>
      </c>
    </row>
    <row r="462" spans="1:11" x14ac:dyDescent="0.25">
      <c r="A462" s="24">
        <v>45642.731446759259</v>
      </c>
      <c r="B462" s="23" t="s">
        <v>807</v>
      </c>
      <c r="C462" s="23" t="s">
        <v>50</v>
      </c>
      <c r="D462" s="25">
        <v>4320123</v>
      </c>
      <c r="E462" s="23"/>
      <c r="F462" s="26" t="str">
        <f t="shared" si="29"/>
        <v>BB01-4320123</v>
      </c>
      <c r="G462" s="23" t="str">
        <f t="shared" si="30"/>
        <v>BB01-4320123, PEM STUD ZINC PLTD STEEL, M5 X 10MM, MCMASTER 93580A602</v>
      </c>
      <c r="H462" s="23" t="s">
        <v>296</v>
      </c>
      <c r="I462" s="23" t="s">
        <v>657</v>
      </c>
      <c r="J462" s="14" t="s">
        <v>483</v>
      </c>
      <c r="K462" s="23" t="s">
        <v>520</v>
      </c>
    </row>
    <row r="463" spans="1:11" x14ac:dyDescent="0.25">
      <c r="A463" s="9">
        <v>45642.731469907405</v>
      </c>
      <c r="B463" s="3" t="s">
        <v>808</v>
      </c>
      <c r="C463" s="23" t="s">
        <v>50</v>
      </c>
      <c r="D463" s="12">
        <v>4298188</v>
      </c>
      <c r="F463" s="26" t="str">
        <f t="shared" si="29"/>
        <v>BB01-4298188</v>
      </c>
      <c r="G463" s="23" t="str">
        <f t="shared" si="30"/>
        <v>BB01-4298188, ZINC PLTD STEEL LOCKNUT, M5 X 0.8MM, MCMASTER 90453A113</v>
      </c>
      <c r="H463" s="23" t="s">
        <v>296</v>
      </c>
      <c r="I463" s="23" t="s">
        <v>657</v>
      </c>
      <c r="J463" s="14" t="s">
        <v>483</v>
      </c>
      <c r="K463" s="23" t="s">
        <v>520</v>
      </c>
    </row>
    <row r="464" spans="1:11" x14ac:dyDescent="0.25">
      <c r="A464" s="9">
        <v>45642.735601851855</v>
      </c>
      <c r="B464" s="3" t="s">
        <v>809</v>
      </c>
      <c r="C464" s="23" t="s">
        <v>50</v>
      </c>
      <c r="D464" s="12">
        <v>9964538</v>
      </c>
      <c r="F464" s="26" t="str">
        <f t="shared" si="29"/>
        <v>BB01-9964538</v>
      </c>
      <c r="G464" s="23" t="str">
        <f t="shared" si="30"/>
        <v>BB01-9964538, SS MOUNT BALL RECESSED, MCMASTER 5398N18</v>
      </c>
      <c r="H464" s="23" t="s">
        <v>296</v>
      </c>
      <c r="I464" s="23" t="s">
        <v>293</v>
      </c>
      <c r="J464" s="14" t="s">
        <v>483</v>
      </c>
      <c r="K464" s="23" t="s">
        <v>520</v>
      </c>
    </row>
    <row r="465" spans="1:11" x14ac:dyDescent="0.25">
      <c r="A465" s="9">
        <v>45643.560474537036</v>
      </c>
      <c r="B465" s="3" t="s">
        <v>810</v>
      </c>
      <c r="C465" s="23" t="s">
        <v>50</v>
      </c>
      <c r="D465" s="12">
        <v>1168669</v>
      </c>
      <c r="F465" s="26" t="str">
        <f t="shared" ref="F465" si="31">CONCATENATE(C465,"-",D465)</f>
        <v>BB01-1168669</v>
      </c>
      <c r="G465" s="23" t="str">
        <f>CONCATENATE(F465, ", ",B465)</f>
        <v>BB01-1168669, NUT, M4 X 0.7MM, COARSE, MCMASTER 91854A101</v>
      </c>
      <c r="H465" s="23" t="s">
        <v>296</v>
      </c>
      <c r="I465" s="23" t="s">
        <v>293</v>
      </c>
      <c r="J465" s="14" t="s">
        <v>51</v>
      </c>
      <c r="K465" s="3" t="s">
        <v>415</v>
      </c>
    </row>
    <row r="466" spans="1:11" x14ac:dyDescent="0.25">
      <c r="A466" s="9">
        <v>45667.534502314818</v>
      </c>
      <c r="B466" s="3" t="s">
        <v>811</v>
      </c>
      <c r="C466" s="23" t="s">
        <v>50</v>
      </c>
      <c r="D466" s="12">
        <v>7319096</v>
      </c>
      <c r="F466" s="26" t="s">
        <v>812</v>
      </c>
      <c r="G466" s="23" t="str">
        <f t="shared" ref="G466:G477" si="32">CONCATENATE(F466, ", ",B466)</f>
        <v>BB01-7319096, MOUNTING PLATE, SCU, ASM</v>
      </c>
    </row>
    <row r="467" spans="1:11" x14ac:dyDescent="0.25">
      <c r="F467" s="26"/>
      <c r="G467" s="23" t="str">
        <f t="shared" si="32"/>
        <v xml:space="preserve">, </v>
      </c>
    </row>
    <row r="468" spans="1:11" x14ac:dyDescent="0.25">
      <c r="F468" s="26"/>
      <c r="G468" s="23" t="str">
        <f t="shared" si="32"/>
        <v xml:space="preserve">, </v>
      </c>
    </row>
    <row r="469" spans="1:11" x14ac:dyDescent="0.25">
      <c r="F469" s="26"/>
      <c r="G469" s="23" t="str">
        <f t="shared" si="32"/>
        <v xml:space="preserve">, </v>
      </c>
    </row>
    <row r="470" spans="1:11" x14ac:dyDescent="0.25">
      <c r="F470" s="26"/>
      <c r="G470" s="23" t="str">
        <f t="shared" si="32"/>
        <v xml:space="preserve">, </v>
      </c>
    </row>
    <row r="471" spans="1:11" x14ac:dyDescent="0.25">
      <c r="F471" s="26"/>
      <c r="G471" s="23" t="str">
        <f t="shared" si="32"/>
        <v xml:space="preserve">, </v>
      </c>
    </row>
    <row r="472" spans="1:11" x14ac:dyDescent="0.25">
      <c r="F472" s="26"/>
      <c r="G472" s="23" t="str">
        <f t="shared" si="32"/>
        <v xml:space="preserve">, </v>
      </c>
    </row>
    <row r="473" spans="1:11" x14ac:dyDescent="0.25">
      <c r="F473" s="26"/>
      <c r="G473" s="23" t="str">
        <f t="shared" si="32"/>
        <v xml:space="preserve">, </v>
      </c>
    </row>
    <row r="474" spans="1:11" x14ac:dyDescent="0.25">
      <c r="F474" s="26"/>
      <c r="G474" s="23" t="str">
        <f t="shared" si="32"/>
        <v xml:space="preserve">, </v>
      </c>
    </row>
    <row r="475" spans="1:11" x14ac:dyDescent="0.25">
      <c r="G475" s="23" t="str">
        <f t="shared" si="32"/>
        <v xml:space="preserve">, </v>
      </c>
    </row>
    <row r="476" spans="1:11" x14ac:dyDescent="0.25">
      <c r="G476" s="23" t="str">
        <f t="shared" si="32"/>
        <v xml:space="preserve">, </v>
      </c>
    </row>
    <row r="477" spans="1:11" x14ac:dyDescent="0.25">
      <c r="G477" s="23" t="str">
        <f t="shared" si="32"/>
        <v xml:space="preserve">, </v>
      </c>
    </row>
  </sheetData>
  <autoFilter ref="A2:L407" xr:uid="{816EC1E0-A811-498C-9AA9-312FF5F41D9A}"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sertUniqueRandomNumber">
                <anchor moveWithCells="1" sizeWithCells="1">
                  <from>
                    <xdr:col>6</xdr:col>
                    <xdr:colOff>276225</xdr:colOff>
                    <xdr:row>0</xdr:row>
                    <xdr:rowOff>38100</xdr:rowOff>
                  </from>
                  <to>
                    <xdr:col>6</xdr:col>
                    <xdr:colOff>4800600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3A78E-E48D-4BED-B8D5-B9D22CE97E37}">
  <sheetPr codeName="Sheet3"/>
  <dimension ref="A2:B102"/>
  <sheetViews>
    <sheetView topLeftCell="D38" workbookViewId="0">
      <selection activeCell="D38" sqref="D38"/>
    </sheetView>
  </sheetViews>
  <sheetFormatPr defaultColWidth="9.140625" defaultRowHeight="15" x14ac:dyDescent="0.25"/>
  <cols>
    <col min="1" max="1" width="9.85546875" style="4" bestFit="1" customWidth="1"/>
    <col min="2" max="2" width="12.42578125" style="3" customWidth="1"/>
    <col min="3" max="16384" width="9.140625" style="3"/>
  </cols>
  <sheetData>
    <row r="2" spans="1:2" x14ac:dyDescent="0.25">
      <c r="A2" s="1" t="s">
        <v>560</v>
      </c>
      <c r="B2" s="2" t="s">
        <v>561</v>
      </c>
    </row>
    <row r="3" spans="1:2" x14ac:dyDescent="0.25">
      <c r="A3" s="4">
        <v>0</v>
      </c>
      <c r="B3" s="3" t="s">
        <v>100</v>
      </c>
    </row>
    <row r="4" spans="1:2" x14ac:dyDescent="0.25">
      <c r="A4" s="4">
        <v>1</v>
      </c>
      <c r="B4" s="3" t="s">
        <v>562</v>
      </c>
    </row>
    <row r="5" spans="1:2" x14ac:dyDescent="0.25">
      <c r="A5" s="4">
        <v>2</v>
      </c>
      <c r="B5" s="3" t="s">
        <v>563</v>
      </c>
    </row>
    <row r="6" spans="1:2" x14ac:dyDescent="0.25">
      <c r="A6" s="4">
        <v>3</v>
      </c>
      <c r="B6" s="3" t="s">
        <v>228</v>
      </c>
    </row>
    <row r="7" spans="1:2" x14ac:dyDescent="0.25">
      <c r="A7" s="4">
        <v>4</v>
      </c>
      <c r="B7" s="3" t="s">
        <v>564</v>
      </c>
    </row>
    <row r="8" spans="1:2" x14ac:dyDescent="0.25">
      <c r="A8" s="4">
        <v>5</v>
      </c>
      <c r="B8" s="3" t="s">
        <v>565</v>
      </c>
    </row>
    <row r="9" spans="1:2" x14ac:dyDescent="0.25">
      <c r="A9" s="4">
        <v>6</v>
      </c>
      <c r="B9" s="3" t="s">
        <v>566</v>
      </c>
    </row>
    <row r="10" spans="1:2" x14ac:dyDescent="0.25">
      <c r="A10" s="4">
        <v>7</v>
      </c>
      <c r="B10" s="3" t="s">
        <v>567</v>
      </c>
    </row>
    <row r="11" spans="1:2" x14ac:dyDescent="0.25">
      <c r="A11" s="4">
        <v>8</v>
      </c>
      <c r="B11" s="3" t="s">
        <v>568</v>
      </c>
    </row>
    <row r="12" spans="1:2" x14ac:dyDescent="0.25">
      <c r="A12" s="4">
        <v>9</v>
      </c>
      <c r="B12" s="3" t="s">
        <v>569</v>
      </c>
    </row>
    <row r="13" spans="1:2" x14ac:dyDescent="0.25">
      <c r="A13" s="4">
        <v>10</v>
      </c>
      <c r="B13" s="3" t="s">
        <v>167</v>
      </c>
    </row>
    <row r="14" spans="1:2" x14ac:dyDescent="0.25">
      <c r="A14" s="4">
        <v>11</v>
      </c>
      <c r="B14" s="3" t="s">
        <v>97</v>
      </c>
    </row>
    <row r="15" spans="1:2" x14ac:dyDescent="0.25">
      <c r="A15" s="4">
        <v>12</v>
      </c>
      <c r="B15" s="3" t="s">
        <v>570</v>
      </c>
    </row>
    <row r="16" spans="1:2" x14ac:dyDescent="0.25">
      <c r="A16" s="4">
        <v>13</v>
      </c>
      <c r="B16" s="3" t="s">
        <v>571</v>
      </c>
    </row>
    <row r="17" spans="1:2" x14ac:dyDescent="0.25">
      <c r="A17" s="4">
        <v>14</v>
      </c>
      <c r="B17" s="3" t="s">
        <v>572</v>
      </c>
    </row>
    <row r="18" spans="1:2" x14ac:dyDescent="0.25">
      <c r="A18" s="4">
        <v>15</v>
      </c>
      <c r="B18" s="3" t="s">
        <v>87</v>
      </c>
    </row>
    <row r="19" spans="1:2" x14ac:dyDescent="0.25">
      <c r="A19" s="4">
        <v>16</v>
      </c>
      <c r="B19" s="3" t="s">
        <v>573</v>
      </c>
    </row>
    <row r="20" spans="1:2" x14ac:dyDescent="0.25">
      <c r="A20" s="4">
        <v>17</v>
      </c>
      <c r="B20" s="3" t="s">
        <v>574</v>
      </c>
    </row>
    <row r="21" spans="1:2" x14ac:dyDescent="0.25">
      <c r="A21" s="4">
        <v>18</v>
      </c>
      <c r="B21" s="3" t="s">
        <v>425</v>
      </c>
    </row>
    <row r="22" spans="1:2" x14ac:dyDescent="0.25">
      <c r="A22" s="4">
        <v>19</v>
      </c>
      <c r="B22" s="3" t="s">
        <v>219</v>
      </c>
    </row>
    <row r="23" spans="1:2" x14ac:dyDescent="0.25">
      <c r="A23" s="4">
        <v>20</v>
      </c>
      <c r="B23" s="3" t="s">
        <v>575</v>
      </c>
    </row>
    <row r="24" spans="1:2" x14ac:dyDescent="0.25">
      <c r="A24" s="4">
        <v>21</v>
      </c>
      <c r="B24" s="3" t="s">
        <v>576</v>
      </c>
    </row>
    <row r="25" spans="1:2" x14ac:dyDescent="0.25">
      <c r="A25" s="4">
        <v>22</v>
      </c>
      <c r="B25" s="3" t="s">
        <v>577</v>
      </c>
    </row>
    <row r="26" spans="1:2" x14ac:dyDescent="0.25">
      <c r="A26" s="4">
        <v>23</v>
      </c>
      <c r="B26" s="3" t="s">
        <v>578</v>
      </c>
    </row>
    <row r="27" spans="1:2" x14ac:dyDescent="0.25">
      <c r="A27" s="4">
        <v>24</v>
      </c>
      <c r="B27" s="3" t="s">
        <v>579</v>
      </c>
    </row>
    <row r="28" spans="1:2" x14ac:dyDescent="0.25">
      <c r="A28" s="4">
        <v>25</v>
      </c>
      <c r="B28" s="3" t="s">
        <v>580</v>
      </c>
    </row>
    <row r="29" spans="1:2" x14ac:dyDescent="0.25">
      <c r="A29" s="4">
        <v>26</v>
      </c>
    </row>
    <row r="30" spans="1:2" x14ac:dyDescent="0.25">
      <c r="A30" s="4">
        <v>27</v>
      </c>
    </row>
    <row r="31" spans="1:2" x14ac:dyDescent="0.25">
      <c r="A31" s="4">
        <v>28</v>
      </c>
    </row>
    <row r="32" spans="1:2" x14ac:dyDescent="0.25">
      <c r="A32" s="4">
        <v>29</v>
      </c>
    </row>
    <row r="33" spans="1:1" x14ac:dyDescent="0.25">
      <c r="A33" s="4">
        <v>30</v>
      </c>
    </row>
    <row r="34" spans="1:1" x14ac:dyDescent="0.25">
      <c r="A34" s="4">
        <v>31</v>
      </c>
    </row>
    <row r="35" spans="1:1" x14ac:dyDescent="0.25">
      <c r="A35" s="4">
        <v>32</v>
      </c>
    </row>
    <row r="36" spans="1:1" x14ac:dyDescent="0.25">
      <c r="A36" s="4">
        <v>33</v>
      </c>
    </row>
    <row r="37" spans="1:1" x14ac:dyDescent="0.25">
      <c r="A37" s="4">
        <v>34</v>
      </c>
    </row>
    <row r="38" spans="1:1" x14ac:dyDescent="0.25">
      <c r="A38" s="4">
        <v>35</v>
      </c>
    </row>
    <row r="39" spans="1:1" x14ac:dyDescent="0.25">
      <c r="A39" s="4">
        <v>36</v>
      </c>
    </row>
    <row r="40" spans="1:1" x14ac:dyDescent="0.25">
      <c r="A40" s="4">
        <v>37</v>
      </c>
    </row>
    <row r="41" spans="1:1" x14ac:dyDescent="0.25">
      <c r="A41" s="4">
        <v>38</v>
      </c>
    </row>
    <row r="42" spans="1:1" x14ac:dyDescent="0.25">
      <c r="A42" s="4">
        <v>39</v>
      </c>
    </row>
    <row r="43" spans="1:1" x14ac:dyDescent="0.25">
      <c r="A43" s="4">
        <v>40</v>
      </c>
    </row>
    <row r="44" spans="1:1" x14ac:dyDescent="0.25">
      <c r="A44" s="4">
        <v>41</v>
      </c>
    </row>
    <row r="45" spans="1:1" x14ac:dyDescent="0.25">
      <c r="A45" s="4">
        <v>42</v>
      </c>
    </row>
    <row r="46" spans="1:1" x14ac:dyDescent="0.25">
      <c r="A46" s="4">
        <v>43</v>
      </c>
    </row>
    <row r="47" spans="1:1" x14ac:dyDescent="0.25">
      <c r="A47" s="4">
        <v>44</v>
      </c>
    </row>
    <row r="48" spans="1:1" x14ac:dyDescent="0.25">
      <c r="A48" s="4">
        <v>45</v>
      </c>
    </row>
    <row r="49" spans="1:1" x14ac:dyDescent="0.25">
      <c r="A49" s="4">
        <v>46</v>
      </c>
    </row>
    <row r="50" spans="1:1" x14ac:dyDescent="0.25">
      <c r="A50" s="4">
        <v>47</v>
      </c>
    </row>
    <row r="51" spans="1:1" x14ac:dyDescent="0.25">
      <c r="A51" s="4">
        <v>48</v>
      </c>
    </row>
    <row r="52" spans="1:1" x14ac:dyDescent="0.25">
      <c r="A52" s="4">
        <v>49</v>
      </c>
    </row>
    <row r="53" spans="1:1" x14ac:dyDescent="0.25">
      <c r="A53" s="4">
        <v>50</v>
      </c>
    </row>
    <row r="54" spans="1:1" x14ac:dyDescent="0.25">
      <c r="A54" s="4">
        <v>51</v>
      </c>
    </row>
    <row r="55" spans="1:1" x14ac:dyDescent="0.25">
      <c r="A55" s="4">
        <v>52</v>
      </c>
    </row>
    <row r="56" spans="1:1" x14ac:dyDescent="0.25">
      <c r="A56" s="4">
        <v>53</v>
      </c>
    </row>
    <row r="57" spans="1:1" x14ac:dyDescent="0.25">
      <c r="A57" s="4">
        <v>54</v>
      </c>
    </row>
    <row r="58" spans="1:1" x14ac:dyDescent="0.25">
      <c r="A58" s="4">
        <v>55</v>
      </c>
    </row>
    <row r="59" spans="1:1" x14ac:dyDescent="0.25">
      <c r="A59" s="4">
        <v>56</v>
      </c>
    </row>
    <row r="60" spans="1:1" x14ac:dyDescent="0.25">
      <c r="A60" s="4">
        <v>57</v>
      </c>
    </row>
    <row r="61" spans="1:1" x14ac:dyDescent="0.25">
      <c r="A61" s="4">
        <v>58</v>
      </c>
    </row>
    <row r="62" spans="1:1" x14ac:dyDescent="0.25">
      <c r="A62" s="4">
        <v>59</v>
      </c>
    </row>
    <row r="63" spans="1:1" x14ac:dyDescent="0.25">
      <c r="A63" s="4">
        <v>60</v>
      </c>
    </row>
    <row r="64" spans="1:1" x14ac:dyDescent="0.25">
      <c r="A64" s="4">
        <v>61</v>
      </c>
    </row>
    <row r="65" spans="1:1" x14ac:dyDescent="0.25">
      <c r="A65" s="4">
        <v>62</v>
      </c>
    </row>
    <row r="66" spans="1:1" x14ac:dyDescent="0.25">
      <c r="A66" s="4">
        <v>63</v>
      </c>
    </row>
    <row r="67" spans="1:1" x14ac:dyDescent="0.25">
      <c r="A67" s="4">
        <v>64</v>
      </c>
    </row>
    <row r="68" spans="1:1" x14ac:dyDescent="0.25">
      <c r="A68" s="4">
        <v>65</v>
      </c>
    </row>
    <row r="69" spans="1:1" x14ac:dyDescent="0.25">
      <c r="A69" s="4">
        <v>66</v>
      </c>
    </row>
    <row r="70" spans="1:1" x14ac:dyDescent="0.25">
      <c r="A70" s="4">
        <v>67</v>
      </c>
    </row>
    <row r="71" spans="1:1" x14ac:dyDescent="0.25">
      <c r="A71" s="4">
        <v>68</v>
      </c>
    </row>
    <row r="72" spans="1:1" x14ac:dyDescent="0.25">
      <c r="A72" s="4">
        <v>69</v>
      </c>
    </row>
    <row r="73" spans="1:1" x14ac:dyDescent="0.25">
      <c r="A73" s="4">
        <v>70</v>
      </c>
    </row>
    <row r="74" spans="1:1" x14ac:dyDescent="0.25">
      <c r="A74" s="4">
        <v>71</v>
      </c>
    </row>
    <row r="75" spans="1:1" x14ac:dyDescent="0.25">
      <c r="A75" s="4">
        <v>72</v>
      </c>
    </row>
    <row r="76" spans="1:1" x14ac:dyDescent="0.25">
      <c r="A76" s="4">
        <v>73</v>
      </c>
    </row>
    <row r="77" spans="1:1" x14ac:dyDescent="0.25">
      <c r="A77" s="4">
        <v>74</v>
      </c>
    </row>
    <row r="78" spans="1:1" x14ac:dyDescent="0.25">
      <c r="A78" s="4">
        <v>75</v>
      </c>
    </row>
    <row r="79" spans="1:1" x14ac:dyDescent="0.25">
      <c r="A79" s="4">
        <v>76</v>
      </c>
    </row>
    <row r="80" spans="1:1" x14ac:dyDescent="0.25">
      <c r="A80" s="4">
        <v>77</v>
      </c>
    </row>
    <row r="81" spans="1:1" x14ac:dyDescent="0.25">
      <c r="A81" s="4">
        <v>78</v>
      </c>
    </row>
    <row r="82" spans="1:1" x14ac:dyDescent="0.25">
      <c r="A82" s="4">
        <v>79</v>
      </c>
    </row>
    <row r="83" spans="1:1" x14ac:dyDescent="0.25">
      <c r="A83" s="4">
        <v>80</v>
      </c>
    </row>
    <row r="84" spans="1:1" x14ac:dyDescent="0.25">
      <c r="A84" s="4">
        <v>81</v>
      </c>
    </row>
    <row r="85" spans="1:1" x14ac:dyDescent="0.25">
      <c r="A85" s="4">
        <v>82</v>
      </c>
    </row>
    <row r="86" spans="1:1" x14ac:dyDescent="0.25">
      <c r="A86" s="4">
        <v>83</v>
      </c>
    </row>
    <row r="87" spans="1:1" x14ac:dyDescent="0.25">
      <c r="A87" s="4">
        <v>84</v>
      </c>
    </row>
    <row r="88" spans="1:1" x14ac:dyDescent="0.25">
      <c r="A88" s="4">
        <v>85</v>
      </c>
    </row>
    <row r="89" spans="1:1" x14ac:dyDescent="0.25">
      <c r="A89" s="4">
        <v>86</v>
      </c>
    </row>
    <row r="90" spans="1:1" x14ac:dyDescent="0.25">
      <c r="A90" s="4">
        <v>87</v>
      </c>
    </row>
    <row r="91" spans="1:1" x14ac:dyDescent="0.25">
      <c r="A91" s="4">
        <v>88</v>
      </c>
    </row>
    <row r="92" spans="1:1" x14ac:dyDescent="0.25">
      <c r="A92" s="4">
        <v>89</v>
      </c>
    </row>
    <row r="93" spans="1:1" x14ac:dyDescent="0.25">
      <c r="A93" s="4">
        <v>90</v>
      </c>
    </row>
    <row r="94" spans="1:1" x14ac:dyDescent="0.25">
      <c r="A94" s="4">
        <v>91</v>
      </c>
    </row>
    <row r="95" spans="1:1" x14ac:dyDescent="0.25">
      <c r="A95" s="4">
        <v>92</v>
      </c>
    </row>
    <row r="96" spans="1:1" x14ac:dyDescent="0.25">
      <c r="A96" s="4">
        <v>93</v>
      </c>
    </row>
    <row r="97" spans="1:1" x14ac:dyDescent="0.25">
      <c r="A97" s="4">
        <v>94</v>
      </c>
    </row>
    <row r="98" spans="1:1" x14ac:dyDescent="0.25">
      <c r="A98" s="4">
        <v>95</v>
      </c>
    </row>
    <row r="99" spans="1:1" x14ac:dyDescent="0.25">
      <c r="A99" s="4">
        <v>96</v>
      </c>
    </row>
    <row r="100" spans="1:1" x14ac:dyDescent="0.25">
      <c r="A100" s="4">
        <v>97</v>
      </c>
    </row>
    <row r="101" spans="1:1" x14ac:dyDescent="0.25">
      <c r="A101" s="4">
        <v>98</v>
      </c>
    </row>
    <row r="102" spans="1:1" x14ac:dyDescent="0.25">
      <c r="A102" s="4">
        <v>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1f157-928a-4738-9c77-d9bfb8a465de">
      <Terms xmlns="http://schemas.microsoft.com/office/infopath/2007/PartnerControls"/>
    </lcf76f155ced4ddcb4097134ff3c332f>
    <TaxCatchAll xmlns="b64d86f0-6861-489c-8720-c79d6c6f637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23564497E5464983B339F06FA7BC0B" ma:contentTypeVersion="15" ma:contentTypeDescription="Create a new document." ma:contentTypeScope="" ma:versionID="72bdd333bd3ffb4f5f0a81c9e816aaa7">
  <xsd:schema xmlns:xsd="http://www.w3.org/2001/XMLSchema" xmlns:xs="http://www.w3.org/2001/XMLSchema" xmlns:p="http://schemas.microsoft.com/office/2006/metadata/properties" xmlns:ns2="f6b1f157-928a-4738-9c77-d9bfb8a465de" xmlns:ns3="b64d86f0-6861-489c-8720-c79d6c6f637c" targetNamespace="http://schemas.microsoft.com/office/2006/metadata/properties" ma:root="true" ma:fieldsID="8e91b7334515ca35ffc3d71fba01db66" ns2:_="" ns3:_="">
    <xsd:import namespace="f6b1f157-928a-4738-9c77-d9bfb8a465de"/>
    <xsd:import namespace="b64d86f0-6861-489c-8720-c79d6c6f63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1f157-928a-4738-9c77-d9bfb8a465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ea08c5c-c770-4557-aa21-38281ef019e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4d86f0-6861-489c-8720-c79d6c6f637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037fe5e-e83a-4e8a-9cde-ad0eaf7e50d6}" ma:internalName="TaxCatchAll" ma:showField="CatchAllData" ma:web="b64d86f0-6861-489c-8720-c79d6c6f63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8CC089B-880C-4364-9E23-0D3C7B190F92}">
  <ds:schemaRefs>
    <ds:schemaRef ds:uri="http://schemas.microsoft.com/office/2006/metadata/properties"/>
    <ds:schemaRef ds:uri="f6b1f157-928a-4738-9c77-d9bfb8a465de"/>
    <ds:schemaRef ds:uri="http://purl.org/dc/elements/1.1/"/>
    <ds:schemaRef ds:uri="b64d86f0-6861-489c-8720-c79d6c6f637c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0F9086A-618A-4863-9F32-F058A8DDE9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1f157-928a-4738-9c77-d9bfb8a465de"/>
    <ds:schemaRef ds:uri="b64d86f0-6861-489c-8720-c79d6c6f63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9E6B530-44B4-40FE-B3CC-6E96DE9D42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programCodes</vt:lpstr>
      <vt:lpstr>projectCodes</vt:lpstr>
      <vt:lpstr>partNumbers</vt:lpstr>
      <vt:lpstr>revisionList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Travis Cournoyer</dc:creator>
  <cp:keywords/>
  <dc:description/>
  <cp:lastModifiedBy>Daniel Domikaitis</cp:lastModifiedBy>
  <cp:revision/>
  <dcterms:created xsi:type="dcterms:W3CDTF">2023-11-30T22:38:28Z</dcterms:created>
  <dcterms:modified xsi:type="dcterms:W3CDTF">2025-01-14T21:10:20Z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0x010100ED23564497E5464983B339F06FA7BC0B</vt:lpwstr>
  </property>
  <property fmtid="{D5CDD505-2E9C-101B-9397-08002B2CF9AE}" pid="3" name="MediaServiceImageTags">
    <vt:lpwstr/>
  </property>
</Properties>
</file>